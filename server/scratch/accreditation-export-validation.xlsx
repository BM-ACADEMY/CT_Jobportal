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gend" state="visible" r:id="rId4"/>
    <sheet sheetId="2" name="Summary" state="visible" r:id="rId5"/>
    <sheet sheetId="3" name="Placement Register" state="visible" r:id="rId6"/>
    <sheet sheetId="4" name="Progression" state="visible" r:id="rId7"/>
    <sheet sheetId="5" name="Employer Summary" state="visible" r:id="rId8"/>
    <sheet sheetId="6" name="DVV Evidence Log" state="visible" r:id="rId9"/>
  </sheets>
  <calcPr calcId="171027"/>
</workbook>
</file>

<file path=xl/sharedStrings.xml><?xml version="1.0" encoding="utf-8"?>
<sst xmlns="http://schemas.openxmlformats.org/spreadsheetml/2006/main" count="3414" uniqueCount="648">
  <si>
    <t>Accreditation Export — how to read this file</t>
  </si>
  <si>
    <t>Sample Engineering College · Academic year 2025-26 · Generated by Velaivaaipu</t>
  </si>
  <si>
    <t>Topic</t>
  </si>
  <si>
    <t>Guidance</t>
  </si>
  <si>
    <t>Summary</t>
  </si>
  <si>
    <t>Department-wise graduating strength, placement and progression metrics.</t>
  </si>
  <si>
    <t>Placement Register</t>
  </si>
  <si>
    <t>One row per graduating student, placed or not.</t>
  </si>
  <si>
    <t>Progression</t>
  </si>
  <si>
    <t>Higher studies and competitive examination records.</t>
  </si>
  <si>
    <t>Employer Summary</t>
  </si>
  <si>
    <t>Recruiting companies, offers and package range.</t>
  </si>
  <si>
    <t>DVV Evidence Log</t>
  </si>
  <si>
    <t>Every claim with evidence status; work missing evidence to zero.</t>
  </si>
  <si>
    <t>Framework caveat</t>
  </si>
  <si>
    <t>NAAC metric numbering is in transition. This export supplies stable underlying placement data; map it to the current SSR, AQAR, SAR or AICTE template.</t>
  </si>
  <si>
    <t>Evidence</t>
  </si>
  <si>
    <t>A placement or progression claim without supporting evidence should not be counted.</t>
  </si>
  <si>
    <t>Median package</t>
  </si>
  <si>
    <t>Calculated by the platform; regenerate after changing register data.</t>
  </si>
  <si>
    <t>Student Progression and Placement — Summary</t>
  </si>
  <si>
    <t>Sample Engineering College · Academic year 2025-26 · Live formulas over the register sheets</t>
  </si>
  <si>
    <t>Department</t>
  </si>
  <si>
    <t>Graduated</t>
  </si>
  <si>
    <t>Placed</t>
  </si>
  <si>
    <t>Placement %</t>
  </si>
  <si>
    <t>Higher Studies</t>
  </si>
  <si>
    <t>Qualified Exams</t>
  </si>
  <si>
    <t>Total Progression</t>
  </si>
  <si>
    <t>Progression %</t>
  </si>
  <si>
    <t>Average Package (Rs. LPA)</t>
  </si>
  <si>
    <t>Highest Package (Rs. LPA)</t>
  </si>
  <si>
    <t>Median Package (Rs. LPA)</t>
  </si>
  <si>
    <t>CSE</t>
  </si>
  <si>
    <t>ECE</t>
  </si>
  <si>
    <t>EEE</t>
  </si>
  <si>
    <t>IT</t>
  </si>
  <si>
    <t>MECH</t>
  </si>
  <si>
    <t>INSTITUTION TOTAL</t>
  </si>
  <si>
    <t>Sample Engineering College · Academic year 2025-26 · One row per graduating student</t>
  </si>
  <si>
    <t>Sl. No.</t>
  </si>
  <si>
    <t>Academic Year</t>
  </si>
  <si>
    <t>Register Number</t>
  </si>
  <si>
    <t>Name of the Student</t>
  </si>
  <si>
    <t>Gender</t>
  </si>
  <si>
    <t>Programme Graduated From</t>
  </si>
  <si>
    <t>Year of Passing</t>
  </si>
  <si>
    <t>Outcome</t>
  </si>
  <si>
    <t>Name of the Employer</t>
  </si>
  <si>
    <t>Employer Location</t>
  </si>
  <si>
    <t>Designation / Role</t>
  </si>
  <si>
    <t>Package (Rs. lakh per annum)</t>
  </si>
  <si>
    <t>Date of Offer</t>
  </si>
  <si>
    <t>Source of Offer</t>
  </si>
  <si>
    <t>Drive / Requisition Reference</t>
  </si>
  <si>
    <t>Offer Letter on Record</t>
  </si>
  <si>
    <t>Verified By</t>
  </si>
  <si>
    <t>Verified On</t>
  </si>
  <si>
    <t>2025-26</t>
  </si>
  <si>
    <t>96021CS001</t>
  </si>
  <si>
    <t>Gokul M</t>
  </si>
  <si>
    <t>Male</t>
  </si>
  <si>
    <t>B.E. Computer Science and Engineering</t>
  </si>
  <si>
    <t>2026</t>
  </si>
  <si>
    <t/>
  </si>
  <si>
    <t>93721CS002</t>
  </si>
  <si>
    <t>Meena G</t>
  </si>
  <si>
    <t>Female</t>
  </si>
  <si>
    <t>Tata Elxsi</t>
  </si>
  <si>
    <t>Chennai</t>
  </si>
  <si>
    <t>Software Engineer</t>
  </si>
  <si>
    <t>2026-05-14</t>
  </si>
  <si>
    <t>Campus drive via Velai Vaaippu</t>
  </si>
  <si>
    <t>DRV-2026-037</t>
  </si>
  <si>
    <t>Open evidence</t>
  </si>
  <si>
    <t>TPO Office</t>
  </si>
  <si>
    <t>2026-07-08</t>
  </si>
  <si>
    <t>98321CS003</t>
  </si>
  <si>
    <t>Sandhya R</t>
  </si>
  <si>
    <t>HCLTech</t>
  </si>
  <si>
    <t>2026-02-10</t>
  </si>
  <si>
    <t>Pool campus drive</t>
  </si>
  <si>
    <t>DRV-2026-010</t>
  </si>
  <si>
    <t>2026-07-19</t>
  </si>
  <si>
    <t>99721CS004</t>
  </si>
  <si>
    <t>Anitha G</t>
  </si>
  <si>
    <t>Ashok Leyland</t>
  </si>
  <si>
    <t>Hosur</t>
  </si>
  <si>
    <t>2026-01-19</t>
  </si>
  <si>
    <t>DRV-2026-040</t>
  </si>
  <si>
    <t>2026-07-22</t>
  </si>
  <si>
    <t>95021CS005</t>
  </si>
  <si>
    <t>Kalaiselvi T</t>
  </si>
  <si>
    <t>Systems Engineer</t>
  </si>
  <si>
    <t>2026-02-23</t>
  </si>
  <si>
    <t>DRV-2026-006</t>
  </si>
  <si>
    <t>2026-07-17</t>
  </si>
  <si>
    <t>96721CS006</t>
  </si>
  <si>
    <t>Abinaya V</t>
  </si>
  <si>
    <t>TCS</t>
  </si>
  <si>
    <t>Design Engineer</t>
  </si>
  <si>
    <t>2026-03-05</t>
  </si>
  <si>
    <t>DRV-2026-027</t>
  </si>
  <si>
    <t>98321CS007</t>
  </si>
  <si>
    <t>Naveen G</t>
  </si>
  <si>
    <t>Qualified Competitive Exam</t>
  </si>
  <si>
    <t>98421CS008</t>
  </si>
  <si>
    <t>Sriram N</t>
  </si>
  <si>
    <t>Not Placed</t>
  </si>
  <si>
    <t>97021CS009</t>
  </si>
  <si>
    <t>Priya P</t>
  </si>
  <si>
    <t>95921CS010</t>
  </si>
  <si>
    <t>Sathish P</t>
  </si>
  <si>
    <t>95521CS011</t>
  </si>
  <si>
    <t>Divya N</t>
  </si>
  <si>
    <t>Freshworks</t>
  </si>
  <si>
    <t>DRV-2026-026</t>
  </si>
  <si>
    <t>2026-07-28</t>
  </si>
  <si>
    <t>93121CS012</t>
  </si>
  <si>
    <t>Abinaya S</t>
  </si>
  <si>
    <t>Infosys</t>
  </si>
  <si>
    <t>Bengaluru</t>
  </si>
  <si>
    <t>Associate Developer</t>
  </si>
  <si>
    <t>2026-03-23</t>
  </si>
  <si>
    <t>DRV-2026-023</t>
  </si>
  <si>
    <t>2026-07-13</t>
  </si>
  <si>
    <t>92021CS013</t>
  </si>
  <si>
    <t>Prakash M</t>
  </si>
  <si>
    <t>Wipro</t>
  </si>
  <si>
    <t>Graduate Engineer Trainee</t>
  </si>
  <si>
    <t>2026-05-06</t>
  </si>
  <si>
    <t>Off-campus, verified</t>
  </si>
  <si>
    <t>DRV-2026-019</t>
  </si>
  <si>
    <t>2026-07-14</t>
  </si>
  <si>
    <t>98821CS014</t>
  </si>
  <si>
    <t>Kalaiselvi V</t>
  </si>
  <si>
    <t>Sify Technologies</t>
  </si>
  <si>
    <t>2026-06-22</t>
  </si>
  <si>
    <t>DRV-2026-030</t>
  </si>
  <si>
    <t>2026-07-25</t>
  </si>
  <si>
    <t>96021CS015</t>
  </si>
  <si>
    <t>Muthu T</t>
  </si>
  <si>
    <t>Test Engineer</t>
  </si>
  <si>
    <t>2026-02-03</t>
  </si>
  <si>
    <t>DRV-2026-029</t>
  </si>
  <si>
    <t>2026-07-11</t>
  </si>
  <si>
    <t>92321CS016</t>
  </si>
  <si>
    <t>Sriram R</t>
  </si>
  <si>
    <t>Hexaware</t>
  </si>
  <si>
    <t>2026-05-01</t>
  </si>
  <si>
    <t>DRV-2026-014</t>
  </si>
  <si>
    <t>2026-07-05</t>
  </si>
  <si>
    <t>98721CS017</t>
  </si>
  <si>
    <t>Suresh V</t>
  </si>
  <si>
    <t>2026-04-16</t>
  </si>
  <si>
    <t>DRV-2026-020</t>
  </si>
  <si>
    <t>2026-07-04</t>
  </si>
  <si>
    <t>97121CS018</t>
  </si>
  <si>
    <t>Harini P</t>
  </si>
  <si>
    <t>93621CS019</t>
  </si>
  <si>
    <t>Ilakkiya R</t>
  </si>
  <si>
    <t>91321CS020</t>
  </si>
  <si>
    <t>Yamini G</t>
  </si>
  <si>
    <t>95621CS021</t>
  </si>
  <si>
    <t>Suresh G</t>
  </si>
  <si>
    <t>97921CS022</t>
  </si>
  <si>
    <t>Prakash G</t>
  </si>
  <si>
    <t>96121CS023</t>
  </si>
  <si>
    <t>Manoj K</t>
  </si>
  <si>
    <t>94521CS024</t>
  </si>
  <si>
    <t>Divya R</t>
  </si>
  <si>
    <t>2026-04-26</t>
  </si>
  <si>
    <t>DRV-2026-024</t>
  </si>
  <si>
    <t>93521CS025</t>
  </si>
  <si>
    <t>Prakash N</t>
  </si>
  <si>
    <t>L&amp;T Construction</t>
  </si>
  <si>
    <t>2026-04-21</t>
  </si>
  <si>
    <t>97121CS026</t>
  </si>
  <si>
    <t>Mohan K</t>
  </si>
  <si>
    <t>96021CS027</t>
  </si>
  <si>
    <t>Harini S</t>
  </si>
  <si>
    <t>2026-02-01</t>
  </si>
  <si>
    <t>DRV-2026-038</t>
  </si>
  <si>
    <t>2026-07-26</t>
  </si>
  <si>
    <t>98621CS028</t>
  </si>
  <si>
    <t>Yamini B</t>
  </si>
  <si>
    <t>98021CS029</t>
  </si>
  <si>
    <t>2026-06-05</t>
  </si>
  <si>
    <t>DRV-2026-013</t>
  </si>
  <si>
    <t>2026-07-07</t>
  </si>
  <si>
    <t>93721CS030</t>
  </si>
  <si>
    <t>Divya P</t>
  </si>
  <si>
    <t>2026-04-27</t>
  </si>
  <si>
    <t>DRV-2026-004</t>
  </si>
  <si>
    <t>2026-07-12</t>
  </si>
  <si>
    <t>97621CS031</t>
  </si>
  <si>
    <t>Swetha B</t>
  </si>
  <si>
    <t>2026-01-28</t>
  </si>
  <si>
    <t>DRV-2026-012</t>
  </si>
  <si>
    <t>92821CS032</t>
  </si>
  <si>
    <t>Yamini M</t>
  </si>
  <si>
    <t>2026-05-17</t>
  </si>
  <si>
    <t>DRV-2026-007</t>
  </si>
  <si>
    <t>2026-07-02</t>
  </si>
  <si>
    <t>94521CS033</t>
  </si>
  <si>
    <t>Revathi K</t>
  </si>
  <si>
    <t>2026-01-15</t>
  </si>
  <si>
    <t>2026-07-20</t>
  </si>
  <si>
    <t>99821CS034</t>
  </si>
  <si>
    <t>Dinesh K</t>
  </si>
  <si>
    <t>2026-03-18</t>
  </si>
  <si>
    <t>95021CS035</t>
  </si>
  <si>
    <t>Nandhini N</t>
  </si>
  <si>
    <t>2026-03-26</t>
  </si>
  <si>
    <t>2026-07-21</t>
  </si>
  <si>
    <t>94221CS036</t>
  </si>
  <si>
    <t>Lavanya M</t>
  </si>
  <si>
    <t>96021CS037</t>
  </si>
  <si>
    <t>Prakash S</t>
  </si>
  <si>
    <t>96521CS038</t>
  </si>
  <si>
    <t>93521IT001</t>
  </si>
  <si>
    <t>Harini T</t>
  </si>
  <si>
    <t>B.Tech Information Technology</t>
  </si>
  <si>
    <t>2026-05-15</t>
  </si>
  <si>
    <t>DRV-2026-002</t>
  </si>
  <si>
    <t>97521IT002</t>
  </si>
  <si>
    <t>Vaishnavi P</t>
  </si>
  <si>
    <t>92021IT003</t>
  </si>
  <si>
    <t>2026-04-28</t>
  </si>
  <si>
    <t>99921IT004</t>
  </si>
  <si>
    <t>Praveen N</t>
  </si>
  <si>
    <t>Zoho Corporation</t>
  </si>
  <si>
    <t>2026-01-09</t>
  </si>
  <si>
    <t>2026-07-03</t>
  </si>
  <si>
    <t>91821IT005</t>
  </si>
  <si>
    <t>Sriram K</t>
  </si>
  <si>
    <t>93021IT006</t>
  </si>
  <si>
    <t>Revathi S</t>
  </si>
  <si>
    <t>2026-05-25</t>
  </si>
  <si>
    <t>95421IT007</t>
  </si>
  <si>
    <t>Kavya P</t>
  </si>
  <si>
    <t>91221IT008</t>
  </si>
  <si>
    <t>Karthik R</t>
  </si>
  <si>
    <t>99421IT009</t>
  </si>
  <si>
    <t>Sathish S</t>
  </si>
  <si>
    <t>96021IT010</t>
  </si>
  <si>
    <t>Abinaya G</t>
  </si>
  <si>
    <t>95321IT011</t>
  </si>
  <si>
    <t>Nithya K</t>
  </si>
  <si>
    <t>DRV-2026-017</t>
  </si>
  <si>
    <t>97421IT012</t>
  </si>
  <si>
    <t>Priya T</t>
  </si>
  <si>
    <t>93321IT013</t>
  </si>
  <si>
    <t>Karthik N</t>
  </si>
  <si>
    <t>DRV-2026-016</t>
  </si>
  <si>
    <t>2026-07-10</t>
  </si>
  <si>
    <t>93321IT014</t>
  </si>
  <si>
    <t>Nithya V</t>
  </si>
  <si>
    <t>2026-06-07</t>
  </si>
  <si>
    <t>DRV-2026-033</t>
  </si>
  <si>
    <t>92821IT015</t>
  </si>
  <si>
    <t>Suresh S</t>
  </si>
  <si>
    <t>2026-06-08</t>
  </si>
  <si>
    <t>95921IT016</t>
  </si>
  <si>
    <t>91521IT017</t>
  </si>
  <si>
    <t>Vaishnavi M</t>
  </si>
  <si>
    <t>97721IT018</t>
  </si>
  <si>
    <t>Dinesh M</t>
  </si>
  <si>
    <t>91321IT019</t>
  </si>
  <si>
    <t>2026-05-02</t>
  </si>
  <si>
    <t>DRV-2026-035</t>
  </si>
  <si>
    <t>2026-07-16</t>
  </si>
  <si>
    <t>96821IT020</t>
  </si>
  <si>
    <t>Suresh R</t>
  </si>
  <si>
    <t>97021IT021</t>
  </si>
  <si>
    <t>Ilakkiya S</t>
  </si>
  <si>
    <t>Cognizant</t>
  </si>
  <si>
    <t>Coimbatore</t>
  </si>
  <si>
    <t>2026-02-08</t>
  </si>
  <si>
    <t>DRV-2026-032</t>
  </si>
  <si>
    <t>91521IT022</t>
  </si>
  <si>
    <t>Vijay P</t>
  </si>
  <si>
    <t>2026-03-21</t>
  </si>
  <si>
    <t>2026-07-01</t>
  </si>
  <si>
    <t>97221IT023</t>
  </si>
  <si>
    <t>Vijay R</t>
  </si>
  <si>
    <t>93521IT024</t>
  </si>
  <si>
    <t>Sangeetha G</t>
  </si>
  <si>
    <t>2026-01-27</t>
  </si>
  <si>
    <t>DRV-2026-018</t>
  </si>
  <si>
    <t>92121IT025</t>
  </si>
  <si>
    <t>Naveen B</t>
  </si>
  <si>
    <t>2026-06-17</t>
  </si>
  <si>
    <t>DRV-2026-008</t>
  </si>
  <si>
    <t>96021IT026</t>
  </si>
  <si>
    <t>Abinaya N</t>
  </si>
  <si>
    <t>2026-03-24</t>
  </si>
  <si>
    <t>91021EC001</t>
  </si>
  <si>
    <t>Sangeetha V</t>
  </si>
  <si>
    <t>B.E. Electronics and Communication Engineering</t>
  </si>
  <si>
    <t>98521EC002</t>
  </si>
  <si>
    <t>Nandhini T</t>
  </si>
  <si>
    <t>2026-07-09</t>
  </si>
  <si>
    <t>95021EC003</t>
  </si>
  <si>
    <t>Ramesh G</t>
  </si>
  <si>
    <t>2026-06-13</t>
  </si>
  <si>
    <t>2026-07-24</t>
  </si>
  <si>
    <t>98821EC004</t>
  </si>
  <si>
    <t>Pavithra N</t>
  </si>
  <si>
    <t>93121EC005</t>
  </si>
  <si>
    <t>Muthu M</t>
  </si>
  <si>
    <t>2026-06-21</t>
  </si>
  <si>
    <t>99521EC006</t>
  </si>
  <si>
    <t>Vijay G</t>
  </si>
  <si>
    <t>2026-05-26</t>
  </si>
  <si>
    <t>DRV-2026-036</t>
  </si>
  <si>
    <t>92721EC007</t>
  </si>
  <si>
    <t>Sathish T</t>
  </si>
  <si>
    <t>2026-01-11</t>
  </si>
  <si>
    <t>96221EC008</t>
  </si>
  <si>
    <t>Manoj R</t>
  </si>
  <si>
    <t>2026-01-16</t>
  </si>
  <si>
    <t>99021EC009</t>
  </si>
  <si>
    <t>Dinesh G</t>
  </si>
  <si>
    <t>94121EC010</t>
  </si>
  <si>
    <t>2026-01-05</t>
  </si>
  <si>
    <t>DRV-2026-028</t>
  </si>
  <si>
    <t>97221EC011</t>
  </si>
  <si>
    <t>Vijay B</t>
  </si>
  <si>
    <t>2026-02-26</t>
  </si>
  <si>
    <t>DRV-2026-015</t>
  </si>
  <si>
    <t>92021EC012</t>
  </si>
  <si>
    <t>Rahul N</t>
  </si>
  <si>
    <t>2026-01-21</t>
  </si>
  <si>
    <t>DRV-2026-009</t>
  </si>
  <si>
    <t>92221EC013</t>
  </si>
  <si>
    <t>Ramesh S</t>
  </si>
  <si>
    <t>2026-07-15</t>
  </si>
  <si>
    <t>99221EC014</t>
  </si>
  <si>
    <t>Thanya V</t>
  </si>
  <si>
    <t>94021EC015</t>
  </si>
  <si>
    <t>2026-01-01</t>
  </si>
  <si>
    <t>94221EC016</t>
  </si>
  <si>
    <t>Pavithra S</t>
  </si>
  <si>
    <t>2026-06-11</t>
  </si>
  <si>
    <t>97421EC017</t>
  </si>
  <si>
    <t>Aravind P</t>
  </si>
  <si>
    <t>97321EC018</t>
  </si>
  <si>
    <t>Rahul B</t>
  </si>
  <si>
    <t>2026-01-20</t>
  </si>
  <si>
    <t>96321EC019</t>
  </si>
  <si>
    <t>Sriram M</t>
  </si>
  <si>
    <t>99321EC020</t>
  </si>
  <si>
    <t>Manoj M</t>
  </si>
  <si>
    <t>99521EC021</t>
  </si>
  <si>
    <t>Karthik P</t>
  </si>
  <si>
    <t>94521EC022</t>
  </si>
  <si>
    <t>Aravind S</t>
  </si>
  <si>
    <t>2026-02-13</t>
  </si>
  <si>
    <t>97021EC023</t>
  </si>
  <si>
    <t>Priya R</t>
  </si>
  <si>
    <t>2026-04-01</t>
  </si>
  <si>
    <t>95821EC024</t>
  </si>
  <si>
    <t>Nandhini R</t>
  </si>
  <si>
    <t>99821EC025</t>
  </si>
  <si>
    <t>95921EC026</t>
  </si>
  <si>
    <t>Vijay N</t>
  </si>
  <si>
    <t>91121EC027</t>
  </si>
  <si>
    <t>Abinaya M</t>
  </si>
  <si>
    <t>94021EC028</t>
  </si>
  <si>
    <t>2026-05-03</t>
  </si>
  <si>
    <t>99321EC029</t>
  </si>
  <si>
    <t>93921EC030</t>
  </si>
  <si>
    <t>Sathish M</t>
  </si>
  <si>
    <t>2026-05-28</t>
  </si>
  <si>
    <t>94221EE001</t>
  </si>
  <si>
    <t>B.E. Electrical and Electronics Engineering</t>
  </si>
  <si>
    <t>94621EE002</t>
  </si>
  <si>
    <t>Revathi M</t>
  </si>
  <si>
    <t>96021EE003</t>
  </si>
  <si>
    <t>Gokul S</t>
  </si>
  <si>
    <t>DRV-2026-003</t>
  </si>
  <si>
    <t>95721EE004</t>
  </si>
  <si>
    <t>2026-05-27</t>
  </si>
  <si>
    <t>DRV-2026-005</t>
  </si>
  <si>
    <t>98721EE005</t>
  </si>
  <si>
    <t>Kavya N</t>
  </si>
  <si>
    <t>2026-05-12</t>
  </si>
  <si>
    <t>94221EE006</t>
  </si>
  <si>
    <t>Karthik K</t>
  </si>
  <si>
    <t>2026-03-06</t>
  </si>
  <si>
    <t>97121EE007</t>
  </si>
  <si>
    <t>2026-06-18</t>
  </si>
  <si>
    <t>DRV-2026-011</t>
  </si>
  <si>
    <t>99521EE008</t>
  </si>
  <si>
    <t>Pavithra P</t>
  </si>
  <si>
    <t>2026-03-14</t>
  </si>
  <si>
    <t>96021EE009</t>
  </si>
  <si>
    <t>Lavanya K</t>
  </si>
  <si>
    <t>92121EE010</t>
  </si>
  <si>
    <t>2026-01-18</t>
  </si>
  <si>
    <t>93121EE011</t>
  </si>
  <si>
    <t>Lavanya G</t>
  </si>
  <si>
    <t>2026-01-04</t>
  </si>
  <si>
    <t>92621EE012</t>
  </si>
  <si>
    <t>Manoj P</t>
  </si>
  <si>
    <t>91621EE013</t>
  </si>
  <si>
    <t>Vijay V</t>
  </si>
  <si>
    <t>2026-02-21</t>
  </si>
  <si>
    <t>93321EE014</t>
  </si>
  <si>
    <t>Manoj N</t>
  </si>
  <si>
    <t>2026-03-04</t>
  </si>
  <si>
    <t>2026-07-27</t>
  </si>
  <si>
    <t>98121EE015</t>
  </si>
  <si>
    <t>95921EE016</t>
  </si>
  <si>
    <t>2026-02-14</t>
  </si>
  <si>
    <t>91021EE017</t>
  </si>
  <si>
    <t>Kavya R</t>
  </si>
  <si>
    <t>92621EE018</t>
  </si>
  <si>
    <t>Rahul S</t>
  </si>
  <si>
    <t>2026-06-02</t>
  </si>
  <si>
    <t>92021EE019</t>
  </si>
  <si>
    <t>Gokul G</t>
  </si>
  <si>
    <t>99721EE020</t>
  </si>
  <si>
    <t>Vimal M</t>
  </si>
  <si>
    <t>93021EE021</t>
  </si>
  <si>
    <t>2026-04-07</t>
  </si>
  <si>
    <t>93521EE022</t>
  </si>
  <si>
    <t>Lavanya R</t>
  </si>
  <si>
    <t>2026-04-06</t>
  </si>
  <si>
    <t>98121ME001</t>
  </si>
  <si>
    <t>Lavanya N</t>
  </si>
  <si>
    <t>B.E. Mechanical Engineering</t>
  </si>
  <si>
    <t>2026-04-24</t>
  </si>
  <si>
    <t>95621ME002</t>
  </si>
  <si>
    <t>Praveen M</t>
  </si>
  <si>
    <t>DRV-2026-034</t>
  </si>
  <si>
    <t>91021ME003</t>
  </si>
  <si>
    <t>Sandhya V</t>
  </si>
  <si>
    <t>97521ME004</t>
  </si>
  <si>
    <t>Ramesh T</t>
  </si>
  <si>
    <t>97621ME005</t>
  </si>
  <si>
    <t>Anitha S</t>
  </si>
  <si>
    <t>2026-02-07</t>
  </si>
  <si>
    <t>2026-07-06</t>
  </si>
  <si>
    <t>94121ME006</t>
  </si>
  <si>
    <t>Vignesh R</t>
  </si>
  <si>
    <t>94321ME007</t>
  </si>
  <si>
    <t>Thanya T</t>
  </si>
  <si>
    <t>98621ME008</t>
  </si>
  <si>
    <t>Muthu V</t>
  </si>
  <si>
    <t>91021ME009</t>
  </si>
  <si>
    <t>2026-01-25</t>
  </si>
  <si>
    <t>DRV-2026-001</t>
  </si>
  <si>
    <t>96221ME010</t>
  </si>
  <si>
    <t>2026-01-10</t>
  </si>
  <si>
    <t>DRV-2026-031</t>
  </si>
  <si>
    <t>96921ME011</t>
  </si>
  <si>
    <t>Mohan T</t>
  </si>
  <si>
    <t>2026-03-08</t>
  </si>
  <si>
    <t>94421ME012</t>
  </si>
  <si>
    <t>97421ME013</t>
  </si>
  <si>
    <t>Nithya S</t>
  </si>
  <si>
    <t>2026-02-24</t>
  </si>
  <si>
    <t>95821ME014</t>
  </si>
  <si>
    <t>99921ME015</t>
  </si>
  <si>
    <t>92821ME016</t>
  </si>
  <si>
    <t>2026-07-23</t>
  </si>
  <si>
    <t>91521ME017</t>
  </si>
  <si>
    <t>Karthik S</t>
  </si>
  <si>
    <t>91421ME018</t>
  </si>
  <si>
    <t>Sangeetha R</t>
  </si>
  <si>
    <t>92221ME019</t>
  </si>
  <si>
    <t>Vimal N</t>
  </si>
  <si>
    <t>2026-03-01</t>
  </si>
  <si>
    <t>98721ME020</t>
  </si>
  <si>
    <t>Lavanya V</t>
  </si>
  <si>
    <t>97821ME021</t>
  </si>
  <si>
    <t>2026-01-17</t>
  </si>
  <si>
    <t>97221ME022</t>
  </si>
  <si>
    <t>Aravind V</t>
  </si>
  <si>
    <t>2026-05-09</t>
  </si>
  <si>
    <t>93121ME023</t>
  </si>
  <si>
    <t>99221ME024</t>
  </si>
  <si>
    <t>DRV-2026-025</t>
  </si>
  <si>
    <t>Higher Studies and Competitive Examinations</t>
  </si>
  <si>
    <t>Sample Engineering College · Academic year 2025-26</t>
  </si>
  <si>
    <t>Progression Type</t>
  </si>
  <si>
    <t>Institution / Examination</t>
  </si>
  <si>
    <t>Programme Joined / Result</t>
  </si>
  <si>
    <t>Evidence on Record</t>
  </si>
  <si>
    <t>IIT Madras</t>
  </si>
  <si>
    <t>M.E. Computer Science</t>
  </si>
  <si>
    <t>TNPSC Group II</t>
  </si>
  <si>
    <t>Qualified</t>
  </si>
  <si>
    <t>Anna University, Chennai</t>
  </si>
  <si>
    <t>MBA</t>
  </si>
  <si>
    <t>GATE 2026</t>
  </si>
  <si>
    <t>CAT 2025</t>
  </si>
  <si>
    <t>NIT Trichy</t>
  </si>
  <si>
    <t>M.E. Structural Engineering</t>
  </si>
  <si>
    <t>M.E. Power Systems</t>
  </si>
  <si>
    <t>M.Tech VLSI</t>
  </si>
  <si>
    <t>UPSC ESE 2026</t>
  </si>
  <si>
    <t>GRE</t>
  </si>
  <si>
    <t>VIT Vellore</t>
  </si>
  <si>
    <t>PSG College of Technology</t>
  </si>
  <si>
    <t>Recruiting Employers</t>
  </si>
  <si>
    <t>Employer</t>
  </si>
  <si>
    <t>Offers Made</t>
  </si>
  <si>
    <t>Departments Recruited From</t>
  </si>
  <si>
    <t>Source of Offers</t>
  </si>
  <si>
    <t>CSE, IT, ECE</t>
  </si>
  <si>
    <t>Campus drive via Velai Vaaippu, Off-campus, verified, Pool campus drive</t>
  </si>
  <si>
    <t>IT, ECE, EEE, MECH</t>
  </si>
  <si>
    <t>Pool campus drive, Off-campus, verified, Campus drive via Velai Vaaippu</t>
  </si>
  <si>
    <t>CSE, IT, ECE, EEE, MECH</t>
  </si>
  <si>
    <t>Pool campus drive, Campus drive via Velai Vaaippu, Off-campus, verified</t>
  </si>
  <si>
    <t>CSE, ECE, EEE</t>
  </si>
  <si>
    <t>Campus drive via Velai Vaaippu, Pool campus drive, Off-campus, verified</t>
  </si>
  <si>
    <t>CSE, ECE, MECH</t>
  </si>
  <si>
    <t>Off-campus, verified, Campus drive via Velai Vaaippu, Pool campus drive</t>
  </si>
  <si>
    <t>CSE, IT</t>
  </si>
  <si>
    <t>Campus drive via Velai Vaaippu, Off-campus, verified</t>
  </si>
  <si>
    <t>Off-campus, verified, Pool campus drive, Campus drive via Velai Vaaippu</t>
  </si>
  <si>
    <t>IT, ECE, EEE</t>
  </si>
  <si>
    <t>Evidence Log</t>
  </si>
  <si>
    <t>Sample Engineering College · Academic year 2025-26 · Work the missing list to zero</t>
  </si>
  <si>
    <t>Name</t>
  </si>
  <si>
    <t>Claim Made</t>
  </si>
  <si>
    <t>Status</t>
  </si>
  <si>
    <t>Placed — Tata Elxsi</t>
  </si>
  <si>
    <t>OFFER-93721CS002.pdf</t>
  </si>
  <si>
    <t>Complete</t>
  </si>
  <si>
    <t>Placed — HCLTech</t>
  </si>
  <si>
    <t>OFFER-98321CS003.pdf</t>
  </si>
  <si>
    <t>Placed — Ashok Leyland</t>
  </si>
  <si>
    <t>OFFER-99721CS004.pdf</t>
  </si>
  <si>
    <t>OFFER-95021CS005.pdf</t>
  </si>
  <si>
    <t>Placed — TCS</t>
  </si>
  <si>
    <t>NOT ON FILE</t>
  </si>
  <si>
    <t>MISSING</t>
  </si>
  <si>
    <t>Placed — Freshworks</t>
  </si>
  <si>
    <t>OFFER-95521CS011.pdf</t>
  </si>
  <si>
    <t>Placed — Infosys</t>
  </si>
  <si>
    <t>OFFER-93121CS012.pdf</t>
  </si>
  <si>
    <t>Placed — Wipro</t>
  </si>
  <si>
    <t>Placed — Sify Technologies</t>
  </si>
  <si>
    <t>OFFER-98821CS014.pdf</t>
  </si>
  <si>
    <t>OFFER-96021CS015.pdf</t>
  </si>
  <si>
    <t>Placed — Hexaware</t>
  </si>
  <si>
    <t>OFFER-92321CS016.pdf</t>
  </si>
  <si>
    <t>Placed — L&amp;T Construction</t>
  </si>
  <si>
    <t>OFFER-93521CS025.pdf</t>
  </si>
  <si>
    <t>OFFER-96021CS027.pdf</t>
  </si>
  <si>
    <t>OFFER-98021CS029.pdf</t>
  </si>
  <si>
    <t>OFFER-93721CS030.pdf</t>
  </si>
  <si>
    <t>OFFER-97621CS031.pdf</t>
  </si>
  <si>
    <t>OFFER-92821CS032.pdf</t>
  </si>
  <si>
    <t>OFFER-94521CS033.pdf</t>
  </si>
  <si>
    <t>OFFER-99821CS034.pdf</t>
  </si>
  <si>
    <t>OFFER-95021CS035.pdf</t>
  </si>
  <si>
    <t>OFFER-93521IT001.pdf</t>
  </si>
  <si>
    <t>OFFER-92021IT003.pdf</t>
  </si>
  <si>
    <t>Placed — Zoho Corporation</t>
  </si>
  <si>
    <t>OFFER-99921IT004.pdf</t>
  </si>
  <si>
    <t>OFFER-91821IT005.pdf</t>
  </si>
  <si>
    <t>OFFER-93021IT006.pdf</t>
  </si>
  <si>
    <t>OFFER-95321IT011.pdf</t>
  </si>
  <si>
    <t>OFFER-93321IT014.pdf</t>
  </si>
  <si>
    <t>OFFER-92821IT015.pdf</t>
  </si>
  <si>
    <t>OFFER-91321IT019.pdf</t>
  </si>
  <si>
    <t>Placed — Cognizant</t>
  </si>
  <si>
    <t>OFFER-97021IT021.pdf</t>
  </si>
  <si>
    <t>OFFER-91521IT022.pdf</t>
  </si>
  <si>
    <t>OFFER-97221IT023.pdf</t>
  </si>
  <si>
    <t>OFFER-93521IT024.pdf</t>
  </si>
  <si>
    <t>OFFER-92121IT025.pdf</t>
  </si>
  <si>
    <t>OFFER-96021IT026.pdf</t>
  </si>
  <si>
    <t>OFFER-91021EC001.pdf</t>
  </si>
  <si>
    <t>OFFER-98521EC002.pdf</t>
  </si>
  <si>
    <t>OFFER-93121EC005.pdf</t>
  </si>
  <si>
    <t>OFFER-99521EC006.pdf</t>
  </si>
  <si>
    <t>OFFER-92721EC007.pdf</t>
  </si>
  <si>
    <t>OFFER-96221EC008.pdf</t>
  </si>
  <si>
    <t>OFFER-94121EC010.pdf</t>
  </si>
  <si>
    <t>OFFER-97221EC011.pdf</t>
  </si>
  <si>
    <t>OFFER-92021EC012.pdf</t>
  </si>
  <si>
    <t>OFFER-92221EC013.pdf</t>
  </si>
  <si>
    <t>OFFER-94021EC015.pdf</t>
  </si>
  <si>
    <t>OFFER-94221EC016.pdf</t>
  </si>
  <si>
    <t>OFFER-97421EC017.pdf</t>
  </si>
  <si>
    <t>OFFER-96321EC019.pdf</t>
  </si>
  <si>
    <t>OFFER-94521EC022.pdf</t>
  </si>
  <si>
    <t>OFFER-97021EC023.pdf</t>
  </si>
  <si>
    <t>OFFER-95821EC024.pdf</t>
  </si>
  <si>
    <t>OFFER-99821EC025.pdf</t>
  </si>
  <si>
    <t>OFFER-94021EC028.pdf</t>
  </si>
  <si>
    <t>OFFER-99321EC029.pdf</t>
  </si>
  <si>
    <t>OFFER-93921EC030.pdf</t>
  </si>
  <si>
    <t>OFFER-96021EE003.pdf</t>
  </si>
  <si>
    <t>OFFER-95721EE004.pdf</t>
  </si>
  <si>
    <t>OFFER-98721EE005.pdf</t>
  </si>
  <si>
    <t>OFFER-94221EE006.pdf</t>
  </si>
  <si>
    <t>OFFER-97121EE007.pdf</t>
  </si>
  <si>
    <t>OFFER-99521EE008.pdf</t>
  </si>
  <si>
    <t>OFFER-93121EE011.pdf</t>
  </si>
  <si>
    <t>OFFER-91621EE013.pdf</t>
  </si>
  <si>
    <t>OFFER-93321EE014.pdf</t>
  </si>
  <si>
    <t>OFFER-95921EE016.pdf</t>
  </si>
  <si>
    <t>OFFER-91021EE017.pdf</t>
  </si>
  <si>
    <t>OFFER-92021EE019.pdf</t>
  </si>
  <si>
    <t>OFFER-93021EE021.pdf</t>
  </si>
  <si>
    <t>OFFER-93521EE022.pdf</t>
  </si>
  <si>
    <t>OFFER-98121ME001.pdf</t>
  </si>
  <si>
    <t>OFFER-95621ME002.pdf</t>
  </si>
  <si>
    <t>OFFER-97621ME005.pdf</t>
  </si>
  <si>
    <t>OFFER-91021ME009.pdf</t>
  </si>
  <si>
    <t>OFFER-96221ME010.pdf</t>
  </si>
  <si>
    <t>OFFER-96921ME011.pdf</t>
  </si>
  <si>
    <t>OFFER-97421ME013.pdf</t>
  </si>
  <si>
    <t>OFFER-99921ME015.pdf</t>
  </si>
  <si>
    <t>OFFER-91521ME017.pdf</t>
  </si>
  <si>
    <t>OFFER-92221ME019.pdf</t>
  </si>
  <si>
    <t>OFFER-98721ME020.pdf</t>
  </si>
  <si>
    <t>OFFER-97821ME021.pdf</t>
  </si>
  <si>
    <t>OFFER-97221ME022.pdf</t>
  </si>
  <si>
    <t>OFFER-93121ME023.pdf</t>
  </si>
  <si>
    <t>OFFER-99221ME024.pdf</t>
  </si>
  <si>
    <t>ADM-96021CS001.pdf</t>
  </si>
  <si>
    <t>SCORE-98321CS007.pdf</t>
  </si>
  <si>
    <t>ADM-97021CS009.pdf</t>
  </si>
  <si>
    <t>SCORE-91321CS020.pdf</t>
  </si>
  <si>
    <t>SCORE-97921CS022.pdf</t>
  </si>
  <si>
    <t>ADM-96121CS023.pdf</t>
  </si>
  <si>
    <t>ADM-91221IT008.pdf</t>
  </si>
  <si>
    <t>ADM-97421IT012.pdf</t>
  </si>
  <si>
    <t>SCORE-95921IT016.pdf</t>
  </si>
  <si>
    <t>SCORE-97721IT018.pdf</t>
  </si>
  <si>
    <t>ADM-99521EC021.pdf</t>
  </si>
  <si>
    <t>SCORE-95921EC026.pdf</t>
  </si>
  <si>
    <t>ADM-94221EE001.pdf</t>
  </si>
  <si>
    <t>ADM-96021EE009.pdf</t>
  </si>
  <si>
    <t>SCORE-99721EE020.pdf</t>
  </si>
  <si>
    <t>SCORE-91021ME003.pdf</t>
  </si>
  <si>
    <t>ADM-94121ME006.pdf</t>
  </si>
  <si>
    <t>ADM-98621ME008.pdf</t>
  </si>
  <si>
    <t>ADM-94421ME012.pdf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</si>
</sst>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131F38"/>
      <sz val="15"/>
      <name val="Arial"/>
    </font>
    <font>
      <color rgb="FF4A5674"/>
      <sz val="9"/>
      <name val="Arial"/>
    </font>
    <font>
      <b/>
      <color rgb="FFFFFFFF"/>
      <sz val="9"/>
      <name val="Arial"/>
    </font>
    <font>
      <color rgb="FF0000FF"/>
      <sz val="9"/>
      <name val="Arial"/>
    </font>
    <font>
      <color rgb="FF000000"/>
      <sz val="9"/>
      <name val="Arial"/>
    </font>
    <font>
      <b/>
      <color rgb="FFB04A32"/>
    </font>
  </fonts>
  <fills count="6">
    <fill>
      <patternFill patternType="none"/>
    </fill>
    <fill>
      <patternFill patternType="gray125"/>
    </fill>
    <fill>
      <patternFill patternType="solid">
        <fgColor rgb="FFE9A63B"/>
      </patternFill>
    </fill>
    <fill>
      <patternFill patternType="solid">
        <fgColor rgb="FF131F38"/>
      </patternFill>
    </fill>
    <fill>
      <patternFill patternType="solid">
        <fgColor rgb="FFFFF7E6"/>
      </patternFill>
    </fill>
    <fill>
      <patternFill patternType="solid">
        <fgColor rgb="FFFFE4E1"/>
      </patternFill>
    </fill>
  </fills>
  <borders count="2">
    <border>
      <left/>
      <right/>
      <top/>
      <bottom/>
      <diagonal/>
    </border>
    <border>
      <left style="thin">
        <color rgb="FFC9CFD9"/>
      </left>
      <right style="thin">
        <color rgb="FFC9CFD9"/>
      </right>
      <top style="thin">
        <color rgb="FFC9CFD9"/>
      </top>
      <bottom style="thin">
        <color rgb="FFC9CF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3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2" fontId="5" fillId="0" borderId="1" xfId="0" applyNumberFormat="1" applyFont="1" applyBorder="1" applyAlignment="1">
      <alignment vertical="center" wrapText="1"/>
    </xf>
    <xf numFmtId="2" fontId="4" fillId="4" borderId="1" xfId="0" applyNumberFormat="1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000OFFER-93721CS002.pdf" TargetMode="External"/><Relationship Id="rId2" Type="http://schemas.openxmlformats.org/officeDocument/2006/relationships/hyperlink" Target="http://localhost:5000OFFER-98321CS003.pdf" TargetMode="External"/><Relationship Id="rId3" Type="http://schemas.openxmlformats.org/officeDocument/2006/relationships/hyperlink" Target="http://localhost:5000OFFER-99721CS004.pdf" TargetMode="External"/><Relationship Id="rId4" Type="http://schemas.openxmlformats.org/officeDocument/2006/relationships/hyperlink" Target="http://localhost:5000OFFER-95021CS005.pdf" TargetMode="External"/><Relationship Id="rId5" Type="http://schemas.openxmlformats.org/officeDocument/2006/relationships/hyperlink" Target="http://localhost:5000OFFER-95521CS011.pdf" TargetMode="External"/><Relationship Id="rId6" Type="http://schemas.openxmlformats.org/officeDocument/2006/relationships/hyperlink" Target="http://localhost:5000OFFER-93121CS012.pdf" TargetMode="External"/><Relationship Id="rId7" Type="http://schemas.openxmlformats.org/officeDocument/2006/relationships/hyperlink" Target="http://localhost:5000OFFER-98821CS014.pdf" TargetMode="External"/><Relationship Id="rId8" Type="http://schemas.openxmlformats.org/officeDocument/2006/relationships/hyperlink" Target="http://localhost:5000OFFER-96021CS015.pdf" TargetMode="External"/><Relationship Id="rId9" Type="http://schemas.openxmlformats.org/officeDocument/2006/relationships/hyperlink" Target="http://localhost:5000OFFER-92321CS016.pdf" TargetMode="External"/><Relationship Id="rId10" Type="http://schemas.openxmlformats.org/officeDocument/2006/relationships/hyperlink" Target="http://localhost:5000OFFER-93521CS025.pdf" TargetMode="External"/><Relationship Id="rId11" Type="http://schemas.openxmlformats.org/officeDocument/2006/relationships/hyperlink" Target="http://localhost:5000OFFER-96021CS027.pdf" TargetMode="External"/><Relationship Id="rId12" Type="http://schemas.openxmlformats.org/officeDocument/2006/relationships/hyperlink" Target="http://localhost:5000OFFER-98021CS029.pdf" TargetMode="External"/><Relationship Id="rId13" Type="http://schemas.openxmlformats.org/officeDocument/2006/relationships/hyperlink" Target="http://localhost:5000OFFER-93721CS030.pdf" TargetMode="External"/><Relationship Id="rId14" Type="http://schemas.openxmlformats.org/officeDocument/2006/relationships/hyperlink" Target="http://localhost:5000OFFER-97621CS031.pdf" TargetMode="External"/><Relationship Id="rId15" Type="http://schemas.openxmlformats.org/officeDocument/2006/relationships/hyperlink" Target="http://localhost:5000OFFER-92821CS032.pdf" TargetMode="External"/><Relationship Id="rId16" Type="http://schemas.openxmlformats.org/officeDocument/2006/relationships/hyperlink" Target="http://localhost:5000OFFER-94521CS033.pdf" TargetMode="External"/><Relationship Id="rId17" Type="http://schemas.openxmlformats.org/officeDocument/2006/relationships/hyperlink" Target="http://localhost:5000OFFER-99821CS034.pdf" TargetMode="External"/><Relationship Id="rId18" Type="http://schemas.openxmlformats.org/officeDocument/2006/relationships/hyperlink" Target="http://localhost:5000OFFER-95021CS035.pdf" TargetMode="External"/><Relationship Id="rId19" Type="http://schemas.openxmlformats.org/officeDocument/2006/relationships/hyperlink" Target="http://localhost:5000OFFER-93521IT001.pdf" TargetMode="External"/><Relationship Id="rId20" Type="http://schemas.openxmlformats.org/officeDocument/2006/relationships/hyperlink" Target="http://localhost:5000OFFER-92021IT003.pdf" TargetMode="External"/><Relationship Id="rId21" Type="http://schemas.openxmlformats.org/officeDocument/2006/relationships/hyperlink" Target="http://localhost:5000OFFER-99921IT004.pdf" TargetMode="External"/><Relationship Id="rId22" Type="http://schemas.openxmlformats.org/officeDocument/2006/relationships/hyperlink" Target="http://localhost:5000OFFER-91821IT005.pdf" TargetMode="External"/><Relationship Id="rId23" Type="http://schemas.openxmlformats.org/officeDocument/2006/relationships/hyperlink" Target="http://localhost:5000OFFER-93021IT006.pdf" TargetMode="External"/><Relationship Id="rId24" Type="http://schemas.openxmlformats.org/officeDocument/2006/relationships/hyperlink" Target="http://localhost:5000OFFER-95321IT011.pdf" TargetMode="External"/><Relationship Id="rId25" Type="http://schemas.openxmlformats.org/officeDocument/2006/relationships/hyperlink" Target="http://localhost:5000OFFER-93321IT014.pdf" TargetMode="External"/><Relationship Id="rId26" Type="http://schemas.openxmlformats.org/officeDocument/2006/relationships/hyperlink" Target="http://localhost:5000OFFER-92821IT015.pdf" TargetMode="External"/><Relationship Id="rId27" Type="http://schemas.openxmlformats.org/officeDocument/2006/relationships/hyperlink" Target="http://localhost:5000OFFER-91321IT019.pdf" TargetMode="External"/><Relationship Id="rId28" Type="http://schemas.openxmlformats.org/officeDocument/2006/relationships/hyperlink" Target="http://localhost:5000OFFER-97021IT021.pdf" TargetMode="External"/><Relationship Id="rId29" Type="http://schemas.openxmlformats.org/officeDocument/2006/relationships/hyperlink" Target="http://localhost:5000OFFER-91521IT022.pdf" TargetMode="External"/><Relationship Id="rId30" Type="http://schemas.openxmlformats.org/officeDocument/2006/relationships/hyperlink" Target="http://localhost:5000OFFER-97221IT023.pdf" TargetMode="External"/><Relationship Id="rId31" Type="http://schemas.openxmlformats.org/officeDocument/2006/relationships/hyperlink" Target="http://localhost:5000OFFER-93521IT024.pdf" TargetMode="External"/><Relationship Id="rId32" Type="http://schemas.openxmlformats.org/officeDocument/2006/relationships/hyperlink" Target="http://localhost:5000OFFER-92121IT025.pdf" TargetMode="External"/><Relationship Id="rId33" Type="http://schemas.openxmlformats.org/officeDocument/2006/relationships/hyperlink" Target="http://localhost:5000OFFER-96021IT026.pdf" TargetMode="External"/><Relationship Id="rId34" Type="http://schemas.openxmlformats.org/officeDocument/2006/relationships/hyperlink" Target="http://localhost:5000OFFER-91021EC001.pdf" TargetMode="External"/><Relationship Id="rId35" Type="http://schemas.openxmlformats.org/officeDocument/2006/relationships/hyperlink" Target="http://localhost:5000OFFER-98521EC002.pdf" TargetMode="External"/><Relationship Id="rId36" Type="http://schemas.openxmlformats.org/officeDocument/2006/relationships/hyperlink" Target="http://localhost:5000OFFER-93121EC005.pdf" TargetMode="External"/><Relationship Id="rId37" Type="http://schemas.openxmlformats.org/officeDocument/2006/relationships/hyperlink" Target="http://localhost:5000OFFER-99521EC006.pdf" TargetMode="External"/><Relationship Id="rId38" Type="http://schemas.openxmlformats.org/officeDocument/2006/relationships/hyperlink" Target="http://localhost:5000OFFER-92721EC007.pdf" TargetMode="External"/><Relationship Id="rId39" Type="http://schemas.openxmlformats.org/officeDocument/2006/relationships/hyperlink" Target="http://localhost:5000OFFER-96221EC008.pdf" TargetMode="External"/><Relationship Id="rId40" Type="http://schemas.openxmlformats.org/officeDocument/2006/relationships/hyperlink" Target="http://localhost:5000OFFER-94121EC010.pdf" TargetMode="External"/><Relationship Id="rId41" Type="http://schemas.openxmlformats.org/officeDocument/2006/relationships/hyperlink" Target="http://localhost:5000OFFER-97221EC011.pdf" TargetMode="External"/><Relationship Id="rId42" Type="http://schemas.openxmlformats.org/officeDocument/2006/relationships/hyperlink" Target="http://localhost:5000OFFER-92021EC012.pdf" TargetMode="External"/><Relationship Id="rId43" Type="http://schemas.openxmlformats.org/officeDocument/2006/relationships/hyperlink" Target="http://localhost:5000OFFER-92221EC013.pdf" TargetMode="External"/><Relationship Id="rId44" Type="http://schemas.openxmlformats.org/officeDocument/2006/relationships/hyperlink" Target="http://localhost:5000OFFER-94021EC015.pdf" TargetMode="External"/><Relationship Id="rId45" Type="http://schemas.openxmlformats.org/officeDocument/2006/relationships/hyperlink" Target="http://localhost:5000OFFER-94221EC016.pdf" TargetMode="External"/><Relationship Id="rId46" Type="http://schemas.openxmlformats.org/officeDocument/2006/relationships/hyperlink" Target="http://localhost:5000OFFER-97421EC017.pdf" TargetMode="External"/><Relationship Id="rId47" Type="http://schemas.openxmlformats.org/officeDocument/2006/relationships/hyperlink" Target="http://localhost:5000OFFER-96321EC019.pdf" TargetMode="External"/><Relationship Id="rId48" Type="http://schemas.openxmlformats.org/officeDocument/2006/relationships/hyperlink" Target="http://localhost:5000OFFER-94521EC022.pdf" TargetMode="External"/><Relationship Id="rId49" Type="http://schemas.openxmlformats.org/officeDocument/2006/relationships/hyperlink" Target="http://localhost:5000OFFER-97021EC023.pdf" TargetMode="External"/><Relationship Id="rId50" Type="http://schemas.openxmlformats.org/officeDocument/2006/relationships/hyperlink" Target="http://localhost:5000OFFER-95821EC024.pdf" TargetMode="External"/><Relationship Id="rId51" Type="http://schemas.openxmlformats.org/officeDocument/2006/relationships/hyperlink" Target="http://localhost:5000OFFER-99821EC025.pdf" TargetMode="External"/><Relationship Id="rId52" Type="http://schemas.openxmlformats.org/officeDocument/2006/relationships/hyperlink" Target="http://localhost:5000OFFER-94021EC028.pdf" TargetMode="External"/><Relationship Id="rId53" Type="http://schemas.openxmlformats.org/officeDocument/2006/relationships/hyperlink" Target="http://localhost:5000OFFER-99321EC029.pdf" TargetMode="External"/><Relationship Id="rId54" Type="http://schemas.openxmlformats.org/officeDocument/2006/relationships/hyperlink" Target="http://localhost:5000OFFER-93921EC030.pdf" TargetMode="External"/><Relationship Id="rId55" Type="http://schemas.openxmlformats.org/officeDocument/2006/relationships/hyperlink" Target="http://localhost:5000OFFER-96021EE003.pdf" TargetMode="External"/><Relationship Id="rId56" Type="http://schemas.openxmlformats.org/officeDocument/2006/relationships/hyperlink" Target="http://localhost:5000OFFER-95721EE004.pdf" TargetMode="External"/><Relationship Id="rId57" Type="http://schemas.openxmlformats.org/officeDocument/2006/relationships/hyperlink" Target="http://localhost:5000OFFER-98721EE005.pdf" TargetMode="External"/><Relationship Id="rId58" Type="http://schemas.openxmlformats.org/officeDocument/2006/relationships/hyperlink" Target="http://localhost:5000OFFER-94221EE006.pdf" TargetMode="External"/><Relationship Id="rId59" Type="http://schemas.openxmlformats.org/officeDocument/2006/relationships/hyperlink" Target="http://localhost:5000OFFER-97121EE007.pdf" TargetMode="External"/><Relationship Id="rId60" Type="http://schemas.openxmlformats.org/officeDocument/2006/relationships/hyperlink" Target="http://localhost:5000OFFER-99521EE008.pdf" TargetMode="External"/><Relationship Id="rId61" Type="http://schemas.openxmlformats.org/officeDocument/2006/relationships/hyperlink" Target="http://localhost:5000OFFER-93121EE011.pdf" TargetMode="External"/><Relationship Id="rId62" Type="http://schemas.openxmlformats.org/officeDocument/2006/relationships/hyperlink" Target="http://localhost:5000OFFER-91621EE013.pdf" TargetMode="External"/><Relationship Id="rId63" Type="http://schemas.openxmlformats.org/officeDocument/2006/relationships/hyperlink" Target="http://localhost:5000OFFER-93321EE014.pdf" TargetMode="External"/><Relationship Id="rId64" Type="http://schemas.openxmlformats.org/officeDocument/2006/relationships/hyperlink" Target="http://localhost:5000OFFER-95921EE016.pdf" TargetMode="External"/><Relationship Id="rId65" Type="http://schemas.openxmlformats.org/officeDocument/2006/relationships/hyperlink" Target="http://localhost:5000OFFER-91021EE017.pdf" TargetMode="External"/><Relationship Id="rId66" Type="http://schemas.openxmlformats.org/officeDocument/2006/relationships/hyperlink" Target="http://localhost:5000OFFER-92021EE019.pdf" TargetMode="External"/><Relationship Id="rId67" Type="http://schemas.openxmlformats.org/officeDocument/2006/relationships/hyperlink" Target="http://localhost:5000OFFER-93021EE021.pdf" TargetMode="External"/><Relationship Id="rId68" Type="http://schemas.openxmlformats.org/officeDocument/2006/relationships/hyperlink" Target="http://localhost:5000OFFER-93521EE022.pdf" TargetMode="External"/><Relationship Id="rId69" Type="http://schemas.openxmlformats.org/officeDocument/2006/relationships/hyperlink" Target="http://localhost:5000OFFER-98121ME001.pdf" TargetMode="External"/><Relationship Id="rId70" Type="http://schemas.openxmlformats.org/officeDocument/2006/relationships/hyperlink" Target="http://localhost:5000OFFER-95621ME002.pdf" TargetMode="External"/><Relationship Id="rId71" Type="http://schemas.openxmlformats.org/officeDocument/2006/relationships/hyperlink" Target="http://localhost:5000OFFER-97621ME005.pdf" TargetMode="External"/><Relationship Id="rId72" Type="http://schemas.openxmlformats.org/officeDocument/2006/relationships/hyperlink" Target="http://localhost:5000OFFER-91021ME009.pdf" TargetMode="External"/><Relationship Id="rId73" Type="http://schemas.openxmlformats.org/officeDocument/2006/relationships/hyperlink" Target="http://localhost:5000OFFER-96221ME010.pdf" TargetMode="External"/><Relationship Id="rId74" Type="http://schemas.openxmlformats.org/officeDocument/2006/relationships/hyperlink" Target="http://localhost:5000OFFER-96921ME011.pdf" TargetMode="External"/><Relationship Id="rId75" Type="http://schemas.openxmlformats.org/officeDocument/2006/relationships/hyperlink" Target="http://localhost:5000OFFER-97421ME013.pdf" TargetMode="External"/><Relationship Id="rId76" Type="http://schemas.openxmlformats.org/officeDocument/2006/relationships/hyperlink" Target="http://localhost:5000OFFER-99921ME015.pdf" TargetMode="External"/><Relationship Id="rId77" Type="http://schemas.openxmlformats.org/officeDocument/2006/relationships/hyperlink" Target="http://localhost:5000OFFER-91521ME017.pdf" TargetMode="External"/><Relationship Id="rId78" Type="http://schemas.openxmlformats.org/officeDocument/2006/relationships/hyperlink" Target="http://localhost:5000OFFER-92221ME019.pdf" TargetMode="External"/><Relationship Id="rId79" Type="http://schemas.openxmlformats.org/officeDocument/2006/relationships/hyperlink" Target="http://localhost:5000OFFER-98721ME020.pdf" TargetMode="External"/><Relationship Id="rId80" Type="http://schemas.openxmlformats.org/officeDocument/2006/relationships/hyperlink" Target="http://localhost:5000OFFER-97821ME021.pdf" TargetMode="External"/><Relationship Id="rId81" Type="http://schemas.openxmlformats.org/officeDocument/2006/relationships/hyperlink" Target="http://localhost:5000OFFER-97221ME022.pdf" TargetMode="External"/><Relationship Id="rId82" Type="http://schemas.openxmlformats.org/officeDocument/2006/relationships/hyperlink" Target="http://localhost:5000OFFER-93121ME023.pdf" TargetMode="External"/><Relationship Id="rId83" Type="http://schemas.openxmlformats.org/officeDocument/2006/relationships/hyperlink" Target="http://localhost:5000OFFER-99221ME024.pdf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000ADM-96021CS001.pdf" TargetMode="External"/><Relationship Id="rId2" Type="http://schemas.openxmlformats.org/officeDocument/2006/relationships/hyperlink" Target="http://localhost:5000SCORE-98321CS007.pdf" TargetMode="External"/><Relationship Id="rId3" Type="http://schemas.openxmlformats.org/officeDocument/2006/relationships/hyperlink" Target="http://localhost:5000ADM-97021CS009.pdf" TargetMode="External"/><Relationship Id="rId4" Type="http://schemas.openxmlformats.org/officeDocument/2006/relationships/hyperlink" Target="http://localhost:5000SCORE-91321CS020.pdf" TargetMode="External"/><Relationship Id="rId5" Type="http://schemas.openxmlformats.org/officeDocument/2006/relationships/hyperlink" Target="http://localhost:5000SCORE-97921CS022.pdf" TargetMode="External"/><Relationship Id="rId6" Type="http://schemas.openxmlformats.org/officeDocument/2006/relationships/hyperlink" Target="http://localhost:5000ADM-96121CS023.pdf" TargetMode="External"/><Relationship Id="rId7" Type="http://schemas.openxmlformats.org/officeDocument/2006/relationships/hyperlink" Target="http://localhost:5000ADM-91221IT008.pdf" TargetMode="External"/><Relationship Id="rId8" Type="http://schemas.openxmlformats.org/officeDocument/2006/relationships/hyperlink" Target="http://localhost:5000ADM-97421IT012.pdf" TargetMode="External"/><Relationship Id="rId9" Type="http://schemas.openxmlformats.org/officeDocument/2006/relationships/hyperlink" Target="http://localhost:5000SCORE-95921IT016.pdf" TargetMode="External"/><Relationship Id="rId10" Type="http://schemas.openxmlformats.org/officeDocument/2006/relationships/hyperlink" Target="http://localhost:5000SCORE-97721IT018.pdf" TargetMode="External"/><Relationship Id="rId11" Type="http://schemas.openxmlformats.org/officeDocument/2006/relationships/hyperlink" Target="http://localhost:5000ADM-99521EC021.pdf" TargetMode="External"/><Relationship Id="rId12" Type="http://schemas.openxmlformats.org/officeDocument/2006/relationships/hyperlink" Target="http://localhost:5000SCORE-95921EC026.pdf" TargetMode="External"/><Relationship Id="rId13" Type="http://schemas.openxmlformats.org/officeDocument/2006/relationships/hyperlink" Target="http://localhost:5000ADM-94221EE001.pdf" TargetMode="External"/><Relationship Id="rId14" Type="http://schemas.openxmlformats.org/officeDocument/2006/relationships/hyperlink" Target="http://localhost:5000ADM-96021EE009.pdf" TargetMode="External"/><Relationship Id="rId15" Type="http://schemas.openxmlformats.org/officeDocument/2006/relationships/hyperlink" Target="http://localhost:5000SCORE-99721EE020.pdf" TargetMode="External"/><Relationship Id="rId16" Type="http://schemas.openxmlformats.org/officeDocument/2006/relationships/hyperlink" Target="http://localhost:5000SCORE-91021ME003.pdf" TargetMode="External"/><Relationship Id="rId17" Type="http://schemas.openxmlformats.org/officeDocument/2006/relationships/hyperlink" Target="http://localhost:5000ADM-94121ME006.pdf" TargetMode="External"/><Relationship Id="rId18" Type="http://schemas.openxmlformats.org/officeDocument/2006/relationships/hyperlink" Target="http://localhost:5000ADM-98621ME008.pdf" TargetMode="External"/><Relationship Id="rId19" Type="http://schemas.openxmlformats.org/officeDocument/2006/relationships/hyperlink" Target="http://localhost:5000ADM-94421ME01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3"/>
  <sheetFormatPr defaultRowHeight="15" outlineLevelRow="0" outlineLevelCol="0" x14ac:dyDescent="55"/>
  <cols>
    <col min="1" max="1" width="30" customWidth="1"/>
    <col min="2" max="2" width="96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/>
      <c r="B3" s="3"/>
    </row>
    <row r="5" ht="30" customHeight="1" spans="1:2" x14ac:dyDescent="0.25">
      <c r="A5" s="4" t="s">
        <v>2</v>
      </c>
      <c r="B5" s="4" t="s">
        <v>3</v>
      </c>
    </row>
    <row r="6" spans="1:2" x14ac:dyDescent="0.25">
      <c r="A6" s="5" t="s">
        <v>4</v>
      </c>
      <c r="B6" s="5" t="s">
        <v>5</v>
      </c>
    </row>
    <row r="7" spans="1:2" x14ac:dyDescent="0.25">
      <c r="A7" s="5" t="s">
        <v>6</v>
      </c>
      <c r="B7" s="5" t="s">
        <v>7</v>
      </c>
    </row>
    <row r="8" spans="1:2" x14ac:dyDescent="0.25">
      <c r="A8" s="5" t="s">
        <v>8</v>
      </c>
      <c r="B8" s="5" t="s">
        <v>9</v>
      </c>
    </row>
    <row r="9" spans="1:2" x14ac:dyDescent="0.25">
      <c r="A9" s="5" t="s">
        <v>10</v>
      </c>
      <c r="B9" s="5" t="s">
        <v>11</v>
      </c>
    </row>
    <row r="10" spans="1:2" x14ac:dyDescent="0.25">
      <c r="A10" s="5" t="s">
        <v>12</v>
      </c>
      <c r="B10" s="5" t="s">
        <v>13</v>
      </c>
    </row>
    <row r="11" spans="1:2" x14ac:dyDescent="0.25">
      <c r="A11" s="5" t="s">
        <v>14</v>
      </c>
      <c r="B11" s="5" t="s">
        <v>15</v>
      </c>
    </row>
    <row r="12" spans="1:2" x14ac:dyDescent="0.25">
      <c r="A12" s="5" t="s">
        <v>16</v>
      </c>
      <c r="B12" s="5" t="s">
        <v>17</v>
      </c>
    </row>
    <row r="13" spans="1:2" x14ac:dyDescent="0.25">
      <c r="A13" s="5" t="s">
        <v>18</v>
      </c>
      <c r="B13" s="5" t="s">
        <v>19</v>
      </c>
    </row>
  </sheetData>
  <mergeCells count="2">
    <mergeCell ref="A1:B1"/>
    <mergeCell ref="A2:B2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9A63B"/>
    <pageSetUpPr fitToPage="1"/>
  </sheetPr>
  <dimension ref="A1:K11"/>
  <sheetFormatPr defaultRowHeight="15" outlineLevelRow="0" outlineLevelCol="0" x14ac:dyDescent="55"/>
  <cols>
    <col min="1" max="1" width="26" customWidth="1"/>
    <col min="2" max="2" width="12" customWidth="1"/>
    <col min="3" max="3" width="10" customWidth="1"/>
    <col min="4" max="4" width="14" customWidth="1"/>
    <col min="5" max="6" width="16" customWidth="1"/>
    <col min="7" max="7" width="18" customWidth="1"/>
    <col min="8" max="8" width="15" customWidth="1"/>
    <col min="9" max="11" width="22" customWidth="1"/>
  </cols>
  <sheetData>
    <row r="1" spans="1:11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5" ht="30" customHeight="1" spans="1:11" x14ac:dyDescent="0.25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32</v>
      </c>
    </row>
    <row r="6" spans="1:11" x14ac:dyDescent="0.25">
      <c r="A6" s="5" t="s">
        <v>33</v>
      </c>
      <c r="B6" s="6">
        <f>COUNTIF('Placement Register'!$G$6:$G$145,A6)</f>
        <v>38</v>
      </c>
      <c r="C6" s="6">
        <f>COUNTIFS('Placement Register'!$G$6:$G$145,A6,'Placement Register'!$I$6:$I$145,"Placed")</f>
        <v>22</v>
      </c>
      <c r="D6" s="7">
        <f>IFERROR(C6/B6,0)</f>
        <v>0.5789473684210527</v>
      </c>
      <c r="E6" s="6">
        <f>COUNTIFS(Progression!$F$6:$F$25,A6,Progression!$G$6:$G$25,"Higher Studies")</f>
        <v>3</v>
      </c>
      <c r="F6" s="6">
        <f>COUNTIFS(Progression!$F$6:$F$25,A6,Progression!$G$6:$G$25,"Qualified Competitive Exam")</f>
        <v>3</v>
      </c>
      <c r="G6" s="6">
        <f>C6+E6+F6</f>
        <v>28</v>
      </c>
      <c r="H6" s="7">
        <f>IFERROR(G6/B6,0)</f>
        <v>0.7368421052631579</v>
      </c>
      <c r="I6" s="8">
        <f>IFERROR(AVERAGEIFS('Placement Register'!$M$6:$M$145,'Placement Register'!$G$6:$G$145,A6,'Placement Register'!$I$6:$I$145,"Placed"),0)</f>
        <v>4.809999999999999</v>
      </c>
      <c r="J6" s="8">
        <f>IFERROR(MAXIFS('Placement Register'!$M$6:$M$145,'Placement Register'!$G$6:$G$145,A6,'Placement Register'!$I$6:$I$145,"Placed"),0)</f>
        <v>7.2</v>
      </c>
      <c r="K6" s="9">
        <v>4.8</v>
      </c>
    </row>
    <row r="7" spans="1:11" x14ac:dyDescent="0.25">
      <c r="A7" s="5" t="s">
        <v>34</v>
      </c>
      <c r="B7" s="6">
        <f>COUNTIF('Placement Register'!$G$6:$G$145,A7)</f>
        <v>30</v>
      </c>
      <c r="C7" s="6">
        <f>COUNTIFS('Placement Register'!$G$6:$G$145,A7,'Placement Register'!$I$6:$I$145,"Placed")</f>
        <v>23</v>
      </c>
      <c r="D7" s="7">
        <f>IFERROR(C7/B7,0)</f>
        <v>0.7666666666666667</v>
      </c>
      <c r="E7" s="6">
        <f>COUNTIFS(Progression!$F$6:$F$25,A7,Progression!$G$6:$G$25,"Higher Studies")</f>
        <v>1</v>
      </c>
      <c r="F7" s="6">
        <f>COUNTIFS(Progression!$F$6:$F$25,A7,Progression!$G$6:$G$25,"Qualified Competitive Exam")</f>
        <v>2</v>
      </c>
      <c r="G7" s="6">
        <f>C7+E7+F7</f>
        <v>26</v>
      </c>
      <c r="H7" s="7">
        <f>IFERROR(G7/B7,0)</f>
        <v>0.8666666666666667</v>
      </c>
      <c r="I7" s="8">
        <f>IFERROR(AVERAGEIFS('Placement Register'!$M$6:$M$145,'Placement Register'!$G$6:$G$145,A7,'Placement Register'!$I$6:$I$145,"Placed"),0)</f>
        <v>5.4904347826086966</v>
      </c>
      <c r="J7" s="8">
        <f>IFERROR(MAXIFS('Placement Register'!$M$6:$M$145,'Placement Register'!$G$6:$G$145,A7,'Placement Register'!$I$6:$I$145,"Placed"),0)</f>
        <v>8.22</v>
      </c>
      <c r="K7" s="9">
        <v>5.34</v>
      </c>
    </row>
    <row r="8" spans="1:11" x14ac:dyDescent="0.25">
      <c r="A8" s="5" t="s">
        <v>35</v>
      </c>
      <c r="B8" s="6">
        <f>COUNTIF('Placement Register'!$G$6:$G$145,A8)</f>
        <v>22</v>
      </c>
      <c r="C8" s="6">
        <f>COUNTIFS('Placement Register'!$G$6:$G$145,A8,'Placement Register'!$I$6:$I$145,"Placed")</f>
        <v>16</v>
      </c>
      <c r="D8" s="7">
        <f>IFERROR(C8/B8,0)</f>
        <v>0.7272727272727273</v>
      </c>
      <c r="E8" s="6">
        <f>COUNTIFS(Progression!$F$6:$F$25,A8,Progression!$G$6:$G$25,"Higher Studies")</f>
        <v>2</v>
      </c>
      <c r="F8" s="6">
        <f>COUNTIFS(Progression!$F$6:$F$25,A8,Progression!$G$6:$G$25,"Qualified Competitive Exam")</f>
        <v>1</v>
      </c>
      <c r="G8" s="6">
        <f>C8+E8+F8</f>
        <v>19</v>
      </c>
      <c r="H8" s="7">
        <f>IFERROR(G8/B8,0)</f>
        <v>0.8636363636363636</v>
      </c>
      <c r="I8" s="8">
        <f>IFERROR(AVERAGEIFS('Placement Register'!$M$6:$M$145,'Placement Register'!$G$6:$G$145,A8,'Placement Register'!$I$6:$I$145,"Placed"),0)</f>
        <v>4.9556249999999995</v>
      </c>
      <c r="J8" s="8">
        <f>IFERROR(MAXIFS('Placement Register'!$M$6:$M$145,'Placement Register'!$G$6:$G$145,A8,'Placement Register'!$I$6:$I$145,"Placed"),0)</f>
        <v>7.29</v>
      </c>
      <c r="K8" s="9">
        <v>4.45</v>
      </c>
    </row>
    <row r="9" spans="1:11" x14ac:dyDescent="0.25">
      <c r="A9" s="5" t="s">
        <v>36</v>
      </c>
      <c r="B9" s="6">
        <f>COUNTIF('Placement Register'!$G$6:$G$145,A9)</f>
        <v>26</v>
      </c>
      <c r="C9" s="6">
        <f>COUNTIFS('Placement Register'!$G$6:$G$145,A9,'Placement Register'!$I$6:$I$145,"Placed")</f>
        <v>16</v>
      </c>
      <c r="D9" s="7">
        <f>IFERROR(C9/B9,0)</f>
        <v>0.6153846153846154</v>
      </c>
      <c r="E9" s="6">
        <f>COUNTIFS(Progression!$F$6:$F$25,A9,Progression!$G$6:$G$25,"Higher Studies")</f>
        <v>2</v>
      </c>
      <c r="F9" s="6">
        <f>COUNTIFS(Progression!$F$6:$F$25,A9,Progression!$G$6:$G$25,"Qualified Competitive Exam")</f>
        <v>2</v>
      </c>
      <c r="G9" s="6">
        <f>C9+E9+F9</f>
        <v>20</v>
      </c>
      <c r="H9" s="7">
        <f>IFERROR(G9/B9,0)</f>
        <v>0.7692307692307693</v>
      </c>
      <c r="I9" s="8">
        <f>IFERROR(AVERAGEIFS('Placement Register'!$M$6:$M$145,'Placement Register'!$G$6:$G$145,A9,'Placement Register'!$I$6:$I$145,"Placed"),0)</f>
        <v>5.366875</v>
      </c>
      <c r="J9" s="8">
        <f>IFERROR(MAXIFS('Placement Register'!$M$6:$M$145,'Placement Register'!$G$6:$G$145,A9,'Placement Register'!$I$6:$I$145,"Placed"),0)</f>
        <v>7.3</v>
      </c>
      <c r="K9" s="9">
        <v>5.38</v>
      </c>
    </row>
    <row r="10" spans="1:11" x14ac:dyDescent="0.25">
      <c r="A10" s="5" t="s">
        <v>37</v>
      </c>
      <c r="B10" s="6">
        <f>COUNTIF('Placement Register'!$G$6:$G$145,A10)</f>
        <v>24</v>
      </c>
      <c r="C10" s="6">
        <f>COUNTIFS('Placement Register'!$G$6:$G$145,A10,'Placement Register'!$I$6:$I$145,"Placed")</f>
        <v>17</v>
      </c>
      <c r="D10" s="7">
        <f>IFERROR(C10/B10,0)</f>
        <v>0.7083333333333334</v>
      </c>
      <c r="E10" s="6">
        <f>COUNTIFS(Progression!$F$6:$F$25,A10,Progression!$G$6:$G$25,"Higher Studies")</f>
        <v>3</v>
      </c>
      <c r="F10" s="6">
        <f>COUNTIFS(Progression!$F$6:$F$25,A10,Progression!$G$6:$G$25,"Qualified Competitive Exam")</f>
        <v>1</v>
      </c>
      <c r="G10" s="6">
        <f>C10+E10+F10</f>
        <v>21</v>
      </c>
      <c r="H10" s="7">
        <f>IFERROR(G10/B10,0)</f>
        <v>0.875</v>
      </c>
      <c r="I10" s="8">
        <f>IFERROR(AVERAGEIFS('Placement Register'!$M$6:$M$145,'Placement Register'!$G$6:$G$145,A10,'Placement Register'!$I$6:$I$145,"Placed"),0)</f>
        <v>5.306470588235293</v>
      </c>
      <c r="J10" s="8">
        <f>IFERROR(MAXIFS('Placement Register'!$M$6:$M$145,'Placement Register'!$G$6:$G$145,A10,'Placement Register'!$I$6:$I$145,"Placed"),0)</f>
        <v>7.52</v>
      </c>
      <c r="K10" s="9">
        <v>5.18</v>
      </c>
    </row>
    <row r="11" spans="1:11" x14ac:dyDescent="0.25">
      <c r="A11" s="5" t="s">
        <v>38</v>
      </c>
      <c r="B11" s="6">
        <f>SUM(B6:B10)</f>
        <v>140</v>
      </c>
      <c r="C11" s="6">
        <f>SUM(C6:C10)</f>
        <v>94</v>
      </c>
      <c r="D11" s="7">
        <f>IFERROR(C11/B11,0)</f>
        <v>0.6714285714285714</v>
      </c>
      <c r="E11" s="6">
        <f>SUM(E6:E10)</f>
        <v>11</v>
      </c>
      <c r="F11" s="6">
        <f>SUM(F6:F10)</f>
        <v>9</v>
      </c>
      <c r="G11" s="6">
        <f>SUM(G6:G10)</f>
        <v>114</v>
      </c>
      <c r="H11" s="7">
        <f>IFERROR(G11/B11,0)</f>
        <v>0.8142857142857143</v>
      </c>
      <c r="I11" s="8">
        <f>IFERROR(AVERAGEIF('Placement Register'!$I$6:$I$145,"Placed",'Placement Register'!$M$6:$M$145),0)</f>
        <v>5.185851063829789</v>
      </c>
      <c r="J11" s="8">
        <f>IFERROR(MAXIFS('Placement Register'!$M$6:$M$145,'Placement Register'!$I$6:$I$145,"Placed"),0)</f>
        <v>8.22</v>
      </c>
      <c r="K11" s="9">
        <v>5.11</v>
      </c>
    </row>
  </sheetData>
  <mergeCells count="2">
    <mergeCell ref="A1:K1"/>
    <mergeCell ref="A2:K2"/>
  </mergeCell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45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6" customWidth="1"/>
    <col min="4" max="4" width="26" customWidth="1"/>
    <col min="6" max="6" width="28" customWidth="1"/>
    <col min="7" max="7" width="14" customWidth="1"/>
    <col min="8" max="8" width="12" customWidth="1"/>
    <col min="9" max="9" width="18" customWidth="1"/>
    <col min="10" max="10" width="26" customWidth="1"/>
    <col min="11" max="11" width="18" customWidth="1"/>
    <col min="12" max="12" width="24" customWidth="1"/>
    <col min="13" max="13" width="18" customWidth="1"/>
    <col min="14" max="14" width="14" customWidth="1"/>
    <col min="15" max="15" width="22" customWidth="1"/>
    <col min="16" max="16" width="24" customWidth="1"/>
    <col min="17" max="17" width="28" customWidth="1"/>
    <col min="18" max="18" width="18" customWidth="1"/>
    <col min="19" max="19" width="14" customWidth="1"/>
  </cols>
  <sheetData>
    <row r="1" spans="1:19" x14ac:dyDescent="0.2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5" ht="30" customHeight="1" spans="1:19" x14ac:dyDescent="0.25">
      <c r="A5" s="4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22</v>
      </c>
      <c r="H5" s="4" t="s">
        <v>46</v>
      </c>
      <c r="I5" s="4" t="s">
        <v>47</v>
      </c>
      <c r="J5" s="4" t="s">
        <v>48</v>
      </c>
      <c r="K5" s="4" t="s">
        <v>49</v>
      </c>
      <c r="L5" s="4" t="s">
        <v>50</v>
      </c>
      <c r="M5" s="4" t="s">
        <v>51</v>
      </c>
      <c r="N5" s="4" t="s">
        <v>52</v>
      </c>
      <c r="O5" s="4" t="s">
        <v>53</v>
      </c>
      <c r="P5" s="4" t="s">
        <v>54</v>
      </c>
      <c r="Q5" s="4" t="s">
        <v>55</v>
      </c>
      <c r="R5" s="4" t="s">
        <v>56</v>
      </c>
      <c r="S5" s="4" t="s">
        <v>57</v>
      </c>
    </row>
    <row r="6" spans="1:19" x14ac:dyDescent="0.25">
      <c r="A6" s="5">
        <v>1</v>
      </c>
      <c r="B6" s="5" t="s">
        <v>58</v>
      </c>
      <c r="C6" s="5" t="s">
        <v>59</v>
      </c>
      <c r="D6" s="5" t="s">
        <v>60</v>
      </c>
      <c r="E6" s="5" t="s">
        <v>61</v>
      </c>
      <c r="F6" s="5" t="s">
        <v>62</v>
      </c>
      <c r="G6" s="5" t="s">
        <v>33</v>
      </c>
      <c r="H6" s="5" t="s">
        <v>63</v>
      </c>
      <c r="I6" s="5" t="s">
        <v>26</v>
      </c>
      <c r="J6" s="5" t="s">
        <v>64</v>
      </c>
      <c r="K6" s="5" t="s">
        <v>64</v>
      </c>
      <c r="L6" s="5" t="s">
        <v>64</v>
      </c>
      <c r="M6" s="5" t="s">
        <v>64</v>
      </c>
      <c r="N6" s="5" t="s">
        <v>64</v>
      </c>
      <c r="O6" s="5" t="s">
        <v>64</v>
      </c>
      <c r="P6" s="5" t="s">
        <v>64</v>
      </c>
      <c r="Q6" s="5" t="s">
        <v>64</v>
      </c>
      <c r="R6" s="5" t="s">
        <v>64</v>
      </c>
      <c r="S6" s="5" t="s">
        <v>64</v>
      </c>
    </row>
    <row r="7" spans="1:19" x14ac:dyDescent="0.25">
      <c r="A7" s="5">
        <v>2</v>
      </c>
      <c r="B7" s="5" t="s">
        <v>58</v>
      </c>
      <c r="C7" s="5" t="s">
        <v>65</v>
      </c>
      <c r="D7" s="5" t="s">
        <v>66</v>
      </c>
      <c r="E7" s="5" t="s">
        <v>67</v>
      </c>
      <c r="F7" s="5" t="s">
        <v>62</v>
      </c>
      <c r="G7" s="5" t="s">
        <v>33</v>
      </c>
      <c r="H7" s="5" t="s">
        <v>63</v>
      </c>
      <c r="I7" s="5" t="s">
        <v>24</v>
      </c>
      <c r="J7" s="5" t="s">
        <v>68</v>
      </c>
      <c r="K7" s="5" t="s">
        <v>69</v>
      </c>
      <c r="L7" s="5" t="s">
        <v>70</v>
      </c>
      <c r="M7" s="5">
        <v>5.38</v>
      </c>
      <c r="N7" s="5" t="s">
        <v>71</v>
      </c>
      <c r="O7" s="5" t="s">
        <v>72</v>
      </c>
      <c r="P7" s="5" t="s">
        <v>73</v>
      </c>
      <c r="Q7" s="5" t="s">
        <v>74</v>
      </c>
      <c r="R7" s="5" t="s">
        <v>75</v>
      </c>
      <c r="S7" s="5" t="s">
        <v>76</v>
      </c>
    </row>
    <row r="8" spans="1:19" x14ac:dyDescent="0.25">
      <c r="A8" s="5">
        <v>3</v>
      </c>
      <c r="B8" s="5" t="s">
        <v>58</v>
      </c>
      <c r="C8" s="5" t="s">
        <v>77</v>
      </c>
      <c r="D8" s="5" t="s">
        <v>78</v>
      </c>
      <c r="E8" s="5" t="s">
        <v>61</v>
      </c>
      <c r="F8" s="5" t="s">
        <v>62</v>
      </c>
      <c r="G8" s="5" t="s">
        <v>33</v>
      </c>
      <c r="H8" s="5" t="s">
        <v>63</v>
      </c>
      <c r="I8" s="5" t="s">
        <v>24</v>
      </c>
      <c r="J8" s="5" t="s">
        <v>79</v>
      </c>
      <c r="K8" s="5" t="s">
        <v>69</v>
      </c>
      <c r="L8" s="5" t="s">
        <v>70</v>
      </c>
      <c r="M8" s="5">
        <v>4.51</v>
      </c>
      <c r="N8" s="5" t="s">
        <v>80</v>
      </c>
      <c r="O8" s="5" t="s">
        <v>81</v>
      </c>
      <c r="P8" s="5" t="s">
        <v>82</v>
      </c>
      <c r="Q8" s="5" t="s">
        <v>74</v>
      </c>
      <c r="R8" s="5" t="s">
        <v>75</v>
      </c>
      <c r="S8" s="5" t="s">
        <v>83</v>
      </c>
    </row>
    <row r="9" spans="1:19" x14ac:dyDescent="0.25">
      <c r="A9" s="5">
        <v>4</v>
      </c>
      <c r="B9" s="5" t="s">
        <v>58</v>
      </c>
      <c r="C9" s="5" t="s">
        <v>84</v>
      </c>
      <c r="D9" s="5" t="s">
        <v>85</v>
      </c>
      <c r="E9" s="5" t="s">
        <v>61</v>
      </c>
      <c r="F9" s="5" t="s">
        <v>62</v>
      </c>
      <c r="G9" s="5" t="s">
        <v>33</v>
      </c>
      <c r="H9" s="5" t="s">
        <v>63</v>
      </c>
      <c r="I9" s="5" t="s">
        <v>24</v>
      </c>
      <c r="J9" s="5" t="s">
        <v>86</v>
      </c>
      <c r="K9" s="5" t="s">
        <v>87</v>
      </c>
      <c r="L9" s="5" t="s">
        <v>70</v>
      </c>
      <c r="M9" s="5">
        <v>5.3</v>
      </c>
      <c r="N9" s="5" t="s">
        <v>88</v>
      </c>
      <c r="O9" s="5" t="s">
        <v>72</v>
      </c>
      <c r="P9" s="5" t="s">
        <v>89</v>
      </c>
      <c r="Q9" s="5" t="s">
        <v>74</v>
      </c>
      <c r="R9" s="5" t="s">
        <v>75</v>
      </c>
      <c r="S9" s="5" t="s">
        <v>90</v>
      </c>
    </row>
    <row r="10" spans="1:19" x14ac:dyDescent="0.25">
      <c r="A10" s="5">
        <v>5</v>
      </c>
      <c r="B10" s="5" t="s">
        <v>58</v>
      </c>
      <c r="C10" s="5" t="s">
        <v>91</v>
      </c>
      <c r="D10" s="5" t="s">
        <v>92</v>
      </c>
      <c r="E10" s="5" t="s">
        <v>67</v>
      </c>
      <c r="F10" s="5" t="s">
        <v>62</v>
      </c>
      <c r="G10" s="5" t="s">
        <v>33</v>
      </c>
      <c r="H10" s="5" t="s">
        <v>63</v>
      </c>
      <c r="I10" s="5" t="s">
        <v>24</v>
      </c>
      <c r="J10" s="5" t="s">
        <v>86</v>
      </c>
      <c r="K10" s="5" t="s">
        <v>87</v>
      </c>
      <c r="L10" s="5" t="s">
        <v>93</v>
      </c>
      <c r="M10" s="5">
        <v>4.7</v>
      </c>
      <c r="N10" s="5" t="s">
        <v>94</v>
      </c>
      <c r="O10" s="5" t="s">
        <v>72</v>
      </c>
      <c r="P10" s="5" t="s">
        <v>95</v>
      </c>
      <c r="Q10" s="5" t="s">
        <v>74</v>
      </c>
      <c r="R10" s="5" t="s">
        <v>75</v>
      </c>
      <c r="S10" s="5" t="s">
        <v>96</v>
      </c>
    </row>
    <row r="11" spans="1:19" x14ac:dyDescent="0.25">
      <c r="A11" s="5">
        <v>6</v>
      </c>
      <c r="B11" s="5" t="s">
        <v>58</v>
      </c>
      <c r="C11" s="5" t="s">
        <v>97</v>
      </c>
      <c r="D11" s="5" t="s">
        <v>98</v>
      </c>
      <c r="E11" s="5" t="s">
        <v>61</v>
      </c>
      <c r="F11" s="5" t="s">
        <v>62</v>
      </c>
      <c r="G11" s="5" t="s">
        <v>33</v>
      </c>
      <c r="H11" s="5" t="s">
        <v>63</v>
      </c>
      <c r="I11" s="5" t="s">
        <v>24</v>
      </c>
      <c r="J11" s="5" t="s">
        <v>99</v>
      </c>
      <c r="K11" s="5" t="s">
        <v>69</v>
      </c>
      <c r="L11" s="5" t="s">
        <v>100</v>
      </c>
      <c r="M11" s="5">
        <v>3.84</v>
      </c>
      <c r="N11" s="5" t="s">
        <v>101</v>
      </c>
      <c r="O11" s="5" t="s">
        <v>81</v>
      </c>
      <c r="P11" s="5" t="s">
        <v>102</v>
      </c>
      <c r="Q11" s="5" t="s">
        <v>64</v>
      </c>
      <c r="R11" s="5" t="s">
        <v>75</v>
      </c>
      <c r="S11" s="5" t="s">
        <v>90</v>
      </c>
    </row>
    <row r="12" spans="1:19" x14ac:dyDescent="0.25">
      <c r="A12" s="5">
        <v>7</v>
      </c>
      <c r="B12" s="5" t="s">
        <v>58</v>
      </c>
      <c r="C12" s="5" t="s">
        <v>103</v>
      </c>
      <c r="D12" s="5" t="s">
        <v>104</v>
      </c>
      <c r="E12" s="5" t="s">
        <v>67</v>
      </c>
      <c r="F12" s="5" t="s">
        <v>62</v>
      </c>
      <c r="G12" s="5" t="s">
        <v>33</v>
      </c>
      <c r="H12" s="5" t="s">
        <v>63</v>
      </c>
      <c r="I12" s="5" t="s">
        <v>105</v>
      </c>
      <c r="J12" s="5" t="s">
        <v>64</v>
      </c>
      <c r="K12" s="5" t="s">
        <v>64</v>
      </c>
      <c r="L12" s="5" t="s">
        <v>64</v>
      </c>
      <c r="M12" s="5" t="s">
        <v>64</v>
      </c>
      <c r="N12" s="5" t="s">
        <v>64</v>
      </c>
      <c r="O12" s="5" t="s">
        <v>64</v>
      </c>
      <c r="P12" s="5" t="s">
        <v>64</v>
      </c>
      <c r="Q12" s="5" t="s">
        <v>64</v>
      </c>
      <c r="R12" s="5" t="s">
        <v>64</v>
      </c>
      <c r="S12" s="5" t="s">
        <v>64</v>
      </c>
    </row>
    <row r="13" spans="1:19" x14ac:dyDescent="0.25">
      <c r="A13" s="5">
        <v>8</v>
      </c>
      <c r="B13" s="5" t="s">
        <v>58</v>
      </c>
      <c r="C13" s="5" t="s">
        <v>106</v>
      </c>
      <c r="D13" s="5" t="s">
        <v>107</v>
      </c>
      <c r="E13" s="5" t="s">
        <v>61</v>
      </c>
      <c r="F13" s="5" t="s">
        <v>62</v>
      </c>
      <c r="G13" s="5" t="s">
        <v>33</v>
      </c>
      <c r="H13" s="5" t="s">
        <v>63</v>
      </c>
      <c r="I13" s="5" t="s">
        <v>108</v>
      </c>
      <c r="J13" s="5" t="s">
        <v>64</v>
      </c>
      <c r="K13" s="5" t="s">
        <v>64</v>
      </c>
      <c r="L13" s="5" t="s">
        <v>64</v>
      </c>
      <c r="M13" s="5" t="s">
        <v>64</v>
      </c>
      <c r="N13" s="5" t="s">
        <v>64</v>
      </c>
      <c r="O13" s="5" t="s">
        <v>64</v>
      </c>
      <c r="P13" s="5" t="s">
        <v>64</v>
      </c>
      <c r="Q13" s="5" t="s">
        <v>64</v>
      </c>
      <c r="R13" s="5" t="s">
        <v>64</v>
      </c>
      <c r="S13" s="5" t="s">
        <v>64</v>
      </c>
    </row>
    <row r="14" spans="1:19" x14ac:dyDescent="0.25">
      <c r="A14" s="5">
        <v>9</v>
      </c>
      <c r="B14" s="5" t="s">
        <v>58</v>
      </c>
      <c r="C14" s="5" t="s">
        <v>109</v>
      </c>
      <c r="D14" s="5" t="s">
        <v>110</v>
      </c>
      <c r="E14" s="5" t="s">
        <v>61</v>
      </c>
      <c r="F14" s="5" t="s">
        <v>62</v>
      </c>
      <c r="G14" s="5" t="s">
        <v>33</v>
      </c>
      <c r="H14" s="5" t="s">
        <v>63</v>
      </c>
      <c r="I14" s="5" t="s">
        <v>26</v>
      </c>
      <c r="J14" s="5" t="s">
        <v>64</v>
      </c>
      <c r="K14" s="5" t="s">
        <v>64</v>
      </c>
      <c r="L14" s="5" t="s">
        <v>64</v>
      </c>
      <c r="M14" s="5" t="s">
        <v>64</v>
      </c>
      <c r="N14" s="5" t="s">
        <v>64</v>
      </c>
      <c r="O14" s="5" t="s">
        <v>64</v>
      </c>
      <c r="P14" s="5" t="s">
        <v>64</v>
      </c>
      <c r="Q14" s="5" t="s">
        <v>64</v>
      </c>
      <c r="R14" s="5" t="s">
        <v>64</v>
      </c>
      <c r="S14" s="5" t="s">
        <v>64</v>
      </c>
    </row>
    <row r="15" spans="1:19" x14ac:dyDescent="0.25">
      <c r="A15" s="5">
        <v>10</v>
      </c>
      <c r="B15" s="5" t="s">
        <v>58</v>
      </c>
      <c r="C15" s="5" t="s">
        <v>111</v>
      </c>
      <c r="D15" s="5" t="s">
        <v>112</v>
      </c>
      <c r="E15" s="5" t="s">
        <v>67</v>
      </c>
      <c r="F15" s="5" t="s">
        <v>62</v>
      </c>
      <c r="G15" s="5" t="s">
        <v>33</v>
      </c>
      <c r="H15" s="5" t="s">
        <v>63</v>
      </c>
      <c r="I15" s="5" t="s">
        <v>108</v>
      </c>
      <c r="J15" s="5" t="s">
        <v>64</v>
      </c>
      <c r="K15" s="5" t="s">
        <v>64</v>
      </c>
      <c r="L15" s="5" t="s">
        <v>64</v>
      </c>
      <c r="M15" s="5" t="s">
        <v>64</v>
      </c>
      <c r="N15" s="5" t="s">
        <v>64</v>
      </c>
      <c r="O15" s="5" t="s">
        <v>64</v>
      </c>
      <c r="P15" s="5" t="s">
        <v>64</v>
      </c>
      <c r="Q15" s="5" t="s">
        <v>64</v>
      </c>
      <c r="R15" s="5" t="s">
        <v>64</v>
      </c>
      <c r="S15" s="5" t="s">
        <v>64</v>
      </c>
    </row>
    <row r="16" spans="1:19" x14ac:dyDescent="0.25">
      <c r="A16" s="5">
        <v>11</v>
      </c>
      <c r="B16" s="5" t="s">
        <v>58</v>
      </c>
      <c r="C16" s="5" t="s">
        <v>113</v>
      </c>
      <c r="D16" s="5" t="s">
        <v>114</v>
      </c>
      <c r="E16" s="5" t="s">
        <v>61</v>
      </c>
      <c r="F16" s="5" t="s">
        <v>62</v>
      </c>
      <c r="G16" s="5" t="s">
        <v>33</v>
      </c>
      <c r="H16" s="5" t="s">
        <v>63</v>
      </c>
      <c r="I16" s="5" t="s">
        <v>24</v>
      </c>
      <c r="J16" s="5" t="s">
        <v>115</v>
      </c>
      <c r="K16" s="5" t="s">
        <v>69</v>
      </c>
      <c r="L16" s="5" t="s">
        <v>70</v>
      </c>
      <c r="M16" s="5">
        <v>6.84</v>
      </c>
      <c r="N16" s="5" t="s">
        <v>101</v>
      </c>
      <c r="O16" s="5" t="s">
        <v>72</v>
      </c>
      <c r="P16" s="5" t="s">
        <v>116</v>
      </c>
      <c r="Q16" s="5" t="s">
        <v>74</v>
      </c>
      <c r="R16" s="5" t="s">
        <v>75</v>
      </c>
      <c r="S16" s="5" t="s">
        <v>117</v>
      </c>
    </row>
    <row r="17" spans="1:19" x14ac:dyDescent="0.25">
      <c r="A17" s="5">
        <v>12</v>
      </c>
      <c r="B17" s="5" t="s">
        <v>58</v>
      </c>
      <c r="C17" s="5" t="s">
        <v>118</v>
      </c>
      <c r="D17" s="5" t="s">
        <v>119</v>
      </c>
      <c r="E17" s="5" t="s">
        <v>67</v>
      </c>
      <c r="F17" s="5" t="s">
        <v>62</v>
      </c>
      <c r="G17" s="5" t="s">
        <v>33</v>
      </c>
      <c r="H17" s="5" t="s">
        <v>63</v>
      </c>
      <c r="I17" s="5" t="s">
        <v>24</v>
      </c>
      <c r="J17" s="5" t="s">
        <v>120</v>
      </c>
      <c r="K17" s="5" t="s">
        <v>121</v>
      </c>
      <c r="L17" s="5" t="s">
        <v>122</v>
      </c>
      <c r="M17" s="5">
        <v>5.33</v>
      </c>
      <c r="N17" s="5" t="s">
        <v>123</v>
      </c>
      <c r="O17" s="5" t="s">
        <v>81</v>
      </c>
      <c r="P17" s="5" t="s">
        <v>124</v>
      </c>
      <c r="Q17" s="5" t="s">
        <v>74</v>
      </c>
      <c r="R17" s="5" t="s">
        <v>75</v>
      </c>
      <c r="S17" s="5" t="s">
        <v>125</v>
      </c>
    </row>
    <row r="18" spans="1:19" x14ac:dyDescent="0.25">
      <c r="A18" s="5">
        <v>13</v>
      </c>
      <c r="B18" s="5" t="s">
        <v>58</v>
      </c>
      <c r="C18" s="5" t="s">
        <v>126</v>
      </c>
      <c r="D18" s="5" t="s">
        <v>127</v>
      </c>
      <c r="E18" s="5" t="s">
        <v>61</v>
      </c>
      <c r="F18" s="5" t="s">
        <v>62</v>
      </c>
      <c r="G18" s="5" t="s">
        <v>33</v>
      </c>
      <c r="H18" s="5" t="s">
        <v>63</v>
      </c>
      <c r="I18" s="5" t="s">
        <v>24</v>
      </c>
      <c r="J18" s="5" t="s">
        <v>128</v>
      </c>
      <c r="K18" s="5" t="s">
        <v>121</v>
      </c>
      <c r="L18" s="5" t="s">
        <v>129</v>
      </c>
      <c r="M18" s="5">
        <v>3.32</v>
      </c>
      <c r="N18" s="5" t="s">
        <v>130</v>
      </c>
      <c r="O18" s="5" t="s">
        <v>131</v>
      </c>
      <c r="P18" s="5" t="s">
        <v>132</v>
      </c>
      <c r="Q18" s="5" t="s">
        <v>64</v>
      </c>
      <c r="R18" s="5" t="s">
        <v>75</v>
      </c>
      <c r="S18" s="5" t="s">
        <v>133</v>
      </c>
    </row>
    <row r="19" spans="1:19" x14ac:dyDescent="0.25">
      <c r="A19" s="5">
        <v>14</v>
      </c>
      <c r="B19" s="5" t="s">
        <v>58</v>
      </c>
      <c r="C19" s="5" t="s">
        <v>134</v>
      </c>
      <c r="D19" s="5" t="s">
        <v>135</v>
      </c>
      <c r="E19" s="5" t="s">
        <v>61</v>
      </c>
      <c r="F19" s="5" t="s">
        <v>62</v>
      </c>
      <c r="G19" s="5" t="s">
        <v>33</v>
      </c>
      <c r="H19" s="5" t="s">
        <v>63</v>
      </c>
      <c r="I19" s="5" t="s">
        <v>24</v>
      </c>
      <c r="J19" s="5" t="s">
        <v>136</v>
      </c>
      <c r="K19" s="5" t="s">
        <v>69</v>
      </c>
      <c r="L19" s="5" t="s">
        <v>100</v>
      </c>
      <c r="M19" s="5">
        <v>4.8</v>
      </c>
      <c r="N19" s="5" t="s">
        <v>137</v>
      </c>
      <c r="O19" s="5" t="s">
        <v>72</v>
      </c>
      <c r="P19" s="5" t="s">
        <v>138</v>
      </c>
      <c r="Q19" s="5" t="s">
        <v>74</v>
      </c>
      <c r="R19" s="5" t="s">
        <v>75</v>
      </c>
      <c r="S19" s="5" t="s">
        <v>139</v>
      </c>
    </row>
    <row r="20" spans="1:19" x14ac:dyDescent="0.25">
      <c r="A20" s="5">
        <v>15</v>
      </c>
      <c r="B20" s="5" t="s">
        <v>58</v>
      </c>
      <c r="C20" s="5" t="s">
        <v>140</v>
      </c>
      <c r="D20" s="5" t="s">
        <v>141</v>
      </c>
      <c r="E20" s="5" t="s">
        <v>61</v>
      </c>
      <c r="F20" s="5" t="s">
        <v>62</v>
      </c>
      <c r="G20" s="5" t="s">
        <v>33</v>
      </c>
      <c r="H20" s="5" t="s">
        <v>63</v>
      </c>
      <c r="I20" s="5" t="s">
        <v>24</v>
      </c>
      <c r="J20" s="5" t="s">
        <v>115</v>
      </c>
      <c r="K20" s="5" t="s">
        <v>69</v>
      </c>
      <c r="L20" s="5" t="s">
        <v>142</v>
      </c>
      <c r="M20" s="5">
        <v>7.2</v>
      </c>
      <c r="N20" s="5" t="s">
        <v>143</v>
      </c>
      <c r="O20" s="5" t="s">
        <v>72</v>
      </c>
      <c r="P20" s="5" t="s">
        <v>144</v>
      </c>
      <c r="Q20" s="5" t="s">
        <v>74</v>
      </c>
      <c r="R20" s="5" t="s">
        <v>75</v>
      </c>
      <c r="S20" s="5" t="s">
        <v>145</v>
      </c>
    </row>
    <row r="21" spans="1:19" x14ac:dyDescent="0.25">
      <c r="A21" s="5">
        <v>16</v>
      </c>
      <c r="B21" s="5" t="s">
        <v>58</v>
      </c>
      <c r="C21" s="5" t="s">
        <v>146</v>
      </c>
      <c r="D21" s="5" t="s">
        <v>147</v>
      </c>
      <c r="E21" s="5" t="s">
        <v>61</v>
      </c>
      <c r="F21" s="5" t="s">
        <v>62</v>
      </c>
      <c r="G21" s="5" t="s">
        <v>33</v>
      </c>
      <c r="H21" s="5" t="s">
        <v>63</v>
      </c>
      <c r="I21" s="5" t="s">
        <v>24</v>
      </c>
      <c r="J21" s="5" t="s">
        <v>148</v>
      </c>
      <c r="K21" s="5" t="s">
        <v>69</v>
      </c>
      <c r="L21" s="5" t="s">
        <v>70</v>
      </c>
      <c r="M21" s="5">
        <v>5.1</v>
      </c>
      <c r="N21" s="5" t="s">
        <v>149</v>
      </c>
      <c r="O21" s="5" t="s">
        <v>72</v>
      </c>
      <c r="P21" s="5" t="s">
        <v>150</v>
      </c>
      <c r="Q21" s="5" t="s">
        <v>74</v>
      </c>
      <c r="R21" s="5" t="s">
        <v>75</v>
      </c>
      <c r="S21" s="5" t="s">
        <v>151</v>
      </c>
    </row>
    <row r="22" spans="1:19" x14ac:dyDescent="0.25">
      <c r="A22" s="5">
        <v>17</v>
      </c>
      <c r="B22" s="5" t="s">
        <v>58</v>
      </c>
      <c r="C22" s="5" t="s">
        <v>152</v>
      </c>
      <c r="D22" s="5" t="s">
        <v>153</v>
      </c>
      <c r="E22" s="5" t="s">
        <v>61</v>
      </c>
      <c r="F22" s="5" t="s">
        <v>62</v>
      </c>
      <c r="G22" s="5" t="s">
        <v>33</v>
      </c>
      <c r="H22" s="5" t="s">
        <v>63</v>
      </c>
      <c r="I22" s="5" t="s">
        <v>24</v>
      </c>
      <c r="J22" s="5" t="s">
        <v>99</v>
      </c>
      <c r="K22" s="5" t="s">
        <v>69</v>
      </c>
      <c r="L22" s="5" t="s">
        <v>122</v>
      </c>
      <c r="M22" s="5">
        <v>4.99</v>
      </c>
      <c r="N22" s="5" t="s">
        <v>154</v>
      </c>
      <c r="O22" s="5" t="s">
        <v>81</v>
      </c>
      <c r="P22" s="5" t="s">
        <v>155</v>
      </c>
      <c r="Q22" s="5" t="s">
        <v>64</v>
      </c>
      <c r="R22" s="5" t="s">
        <v>75</v>
      </c>
      <c r="S22" s="5" t="s">
        <v>156</v>
      </c>
    </row>
    <row r="23" spans="1:19" x14ac:dyDescent="0.25">
      <c r="A23" s="5">
        <v>18</v>
      </c>
      <c r="B23" s="5" t="s">
        <v>58</v>
      </c>
      <c r="C23" s="5" t="s">
        <v>157</v>
      </c>
      <c r="D23" s="5" t="s">
        <v>158</v>
      </c>
      <c r="E23" s="5" t="s">
        <v>61</v>
      </c>
      <c r="F23" s="5" t="s">
        <v>62</v>
      </c>
      <c r="G23" s="5" t="s">
        <v>33</v>
      </c>
      <c r="H23" s="5" t="s">
        <v>63</v>
      </c>
      <c r="I23" s="5" t="s">
        <v>108</v>
      </c>
      <c r="J23" s="5" t="s">
        <v>64</v>
      </c>
      <c r="K23" s="5" t="s">
        <v>64</v>
      </c>
      <c r="L23" s="5" t="s">
        <v>64</v>
      </c>
      <c r="M23" s="5" t="s">
        <v>64</v>
      </c>
      <c r="N23" s="5" t="s">
        <v>64</v>
      </c>
      <c r="O23" s="5" t="s">
        <v>64</v>
      </c>
      <c r="P23" s="5" t="s">
        <v>64</v>
      </c>
      <c r="Q23" s="5" t="s">
        <v>64</v>
      </c>
      <c r="R23" s="5" t="s">
        <v>64</v>
      </c>
      <c r="S23" s="5" t="s">
        <v>64</v>
      </c>
    </row>
    <row r="24" spans="1:19" x14ac:dyDescent="0.25">
      <c r="A24" s="5">
        <v>19</v>
      </c>
      <c r="B24" s="5" t="s">
        <v>58</v>
      </c>
      <c r="C24" s="5" t="s">
        <v>159</v>
      </c>
      <c r="D24" s="5" t="s">
        <v>160</v>
      </c>
      <c r="E24" s="5" t="s">
        <v>67</v>
      </c>
      <c r="F24" s="5" t="s">
        <v>62</v>
      </c>
      <c r="G24" s="5" t="s">
        <v>33</v>
      </c>
      <c r="H24" s="5" t="s">
        <v>63</v>
      </c>
      <c r="I24" s="5" t="s">
        <v>108</v>
      </c>
      <c r="J24" s="5" t="s">
        <v>64</v>
      </c>
      <c r="K24" s="5" t="s">
        <v>64</v>
      </c>
      <c r="L24" s="5" t="s">
        <v>64</v>
      </c>
      <c r="M24" s="5" t="s">
        <v>64</v>
      </c>
      <c r="N24" s="5" t="s">
        <v>64</v>
      </c>
      <c r="O24" s="5" t="s">
        <v>64</v>
      </c>
      <c r="P24" s="5" t="s">
        <v>64</v>
      </c>
      <c r="Q24" s="5" t="s">
        <v>64</v>
      </c>
      <c r="R24" s="5" t="s">
        <v>64</v>
      </c>
      <c r="S24" s="5" t="s">
        <v>64</v>
      </c>
    </row>
    <row r="25" spans="1:19" x14ac:dyDescent="0.25">
      <c r="A25" s="5">
        <v>20</v>
      </c>
      <c r="B25" s="5" t="s">
        <v>58</v>
      </c>
      <c r="C25" s="5" t="s">
        <v>161</v>
      </c>
      <c r="D25" s="5" t="s">
        <v>162</v>
      </c>
      <c r="E25" s="5" t="s">
        <v>67</v>
      </c>
      <c r="F25" s="5" t="s">
        <v>62</v>
      </c>
      <c r="G25" s="5" t="s">
        <v>33</v>
      </c>
      <c r="H25" s="5" t="s">
        <v>63</v>
      </c>
      <c r="I25" s="5" t="s">
        <v>105</v>
      </c>
      <c r="J25" s="5" t="s">
        <v>64</v>
      </c>
      <c r="K25" s="5" t="s">
        <v>64</v>
      </c>
      <c r="L25" s="5" t="s">
        <v>64</v>
      </c>
      <c r="M25" s="5" t="s">
        <v>64</v>
      </c>
      <c r="N25" s="5" t="s">
        <v>64</v>
      </c>
      <c r="O25" s="5" t="s">
        <v>64</v>
      </c>
      <c r="P25" s="5" t="s">
        <v>64</v>
      </c>
      <c r="Q25" s="5" t="s">
        <v>64</v>
      </c>
      <c r="R25" s="5" t="s">
        <v>64</v>
      </c>
      <c r="S25" s="5" t="s">
        <v>64</v>
      </c>
    </row>
    <row r="26" spans="1:19" x14ac:dyDescent="0.25">
      <c r="A26" s="5">
        <v>21</v>
      </c>
      <c r="B26" s="5" t="s">
        <v>58</v>
      </c>
      <c r="C26" s="5" t="s">
        <v>163</v>
      </c>
      <c r="D26" s="5" t="s">
        <v>164</v>
      </c>
      <c r="E26" s="5" t="s">
        <v>67</v>
      </c>
      <c r="F26" s="5" t="s">
        <v>62</v>
      </c>
      <c r="G26" s="5" t="s">
        <v>33</v>
      </c>
      <c r="H26" s="5" t="s">
        <v>63</v>
      </c>
      <c r="I26" s="5" t="s">
        <v>108</v>
      </c>
      <c r="J26" s="5" t="s">
        <v>64</v>
      </c>
      <c r="K26" s="5" t="s">
        <v>64</v>
      </c>
      <c r="L26" s="5" t="s">
        <v>64</v>
      </c>
      <c r="M26" s="5" t="s">
        <v>64</v>
      </c>
      <c r="N26" s="5" t="s">
        <v>64</v>
      </c>
      <c r="O26" s="5" t="s">
        <v>64</v>
      </c>
      <c r="P26" s="5" t="s">
        <v>64</v>
      </c>
      <c r="Q26" s="5" t="s">
        <v>64</v>
      </c>
      <c r="R26" s="5" t="s">
        <v>64</v>
      </c>
      <c r="S26" s="5" t="s">
        <v>64</v>
      </c>
    </row>
    <row r="27" spans="1:19" x14ac:dyDescent="0.25">
      <c r="A27" s="5">
        <v>22</v>
      </c>
      <c r="B27" s="5" t="s">
        <v>58</v>
      </c>
      <c r="C27" s="5" t="s">
        <v>165</v>
      </c>
      <c r="D27" s="5" t="s">
        <v>166</v>
      </c>
      <c r="E27" s="5" t="s">
        <v>67</v>
      </c>
      <c r="F27" s="5" t="s">
        <v>62</v>
      </c>
      <c r="G27" s="5" t="s">
        <v>33</v>
      </c>
      <c r="H27" s="5" t="s">
        <v>63</v>
      </c>
      <c r="I27" s="5" t="s">
        <v>105</v>
      </c>
      <c r="J27" s="5" t="s">
        <v>64</v>
      </c>
      <c r="K27" s="5" t="s">
        <v>64</v>
      </c>
      <c r="L27" s="5" t="s">
        <v>64</v>
      </c>
      <c r="M27" s="5" t="s">
        <v>64</v>
      </c>
      <c r="N27" s="5" t="s">
        <v>64</v>
      </c>
      <c r="O27" s="5" t="s">
        <v>64</v>
      </c>
      <c r="P27" s="5" t="s">
        <v>64</v>
      </c>
      <c r="Q27" s="5" t="s">
        <v>64</v>
      </c>
      <c r="R27" s="5" t="s">
        <v>64</v>
      </c>
      <c r="S27" s="5" t="s">
        <v>64</v>
      </c>
    </row>
    <row r="28" spans="1:19" x14ac:dyDescent="0.25">
      <c r="A28" s="5">
        <v>23</v>
      </c>
      <c r="B28" s="5" t="s">
        <v>58</v>
      </c>
      <c r="C28" s="5" t="s">
        <v>167</v>
      </c>
      <c r="D28" s="5" t="s">
        <v>168</v>
      </c>
      <c r="E28" s="5" t="s">
        <v>61</v>
      </c>
      <c r="F28" s="5" t="s">
        <v>62</v>
      </c>
      <c r="G28" s="5" t="s">
        <v>33</v>
      </c>
      <c r="H28" s="5" t="s">
        <v>63</v>
      </c>
      <c r="I28" s="5" t="s">
        <v>26</v>
      </c>
      <c r="J28" s="5" t="s">
        <v>64</v>
      </c>
      <c r="K28" s="5" t="s">
        <v>64</v>
      </c>
      <c r="L28" s="5" t="s">
        <v>64</v>
      </c>
      <c r="M28" s="5" t="s">
        <v>64</v>
      </c>
      <c r="N28" s="5" t="s">
        <v>64</v>
      </c>
      <c r="O28" s="5" t="s">
        <v>64</v>
      </c>
      <c r="P28" s="5" t="s">
        <v>64</v>
      </c>
      <c r="Q28" s="5" t="s">
        <v>64</v>
      </c>
      <c r="R28" s="5" t="s">
        <v>64</v>
      </c>
      <c r="S28" s="5" t="s">
        <v>64</v>
      </c>
    </row>
    <row r="29" spans="1:19" x14ac:dyDescent="0.25">
      <c r="A29" s="5">
        <v>24</v>
      </c>
      <c r="B29" s="5" t="s">
        <v>58</v>
      </c>
      <c r="C29" s="5" t="s">
        <v>169</v>
      </c>
      <c r="D29" s="5" t="s">
        <v>170</v>
      </c>
      <c r="E29" s="5" t="s">
        <v>61</v>
      </c>
      <c r="F29" s="5" t="s">
        <v>62</v>
      </c>
      <c r="G29" s="5" t="s">
        <v>33</v>
      </c>
      <c r="H29" s="5" t="s">
        <v>63</v>
      </c>
      <c r="I29" s="5" t="s">
        <v>24</v>
      </c>
      <c r="J29" s="5" t="s">
        <v>136</v>
      </c>
      <c r="K29" s="5" t="s">
        <v>69</v>
      </c>
      <c r="L29" s="5" t="s">
        <v>100</v>
      </c>
      <c r="M29" s="5">
        <v>4.81</v>
      </c>
      <c r="N29" s="5" t="s">
        <v>171</v>
      </c>
      <c r="O29" s="5" t="s">
        <v>131</v>
      </c>
      <c r="P29" s="5" t="s">
        <v>172</v>
      </c>
      <c r="Q29" s="5" t="s">
        <v>64</v>
      </c>
      <c r="R29" s="5" t="s">
        <v>75</v>
      </c>
      <c r="S29" s="5" t="s">
        <v>156</v>
      </c>
    </row>
    <row r="30" spans="1:19" x14ac:dyDescent="0.25">
      <c r="A30" s="5">
        <v>25</v>
      </c>
      <c r="B30" s="5" t="s">
        <v>58</v>
      </c>
      <c r="C30" s="5" t="s">
        <v>173</v>
      </c>
      <c r="D30" s="5" t="s">
        <v>174</v>
      </c>
      <c r="E30" s="5" t="s">
        <v>67</v>
      </c>
      <c r="F30" s="5" t="s">
        <v>62</v>
      </c>
      <c r="G30" s="5" t="s">
        <v>33</v>
      </c>
      <c r="H30" s="5" t="s">
        <v>63</v>
      </c>
      <c r="I30" s="5" t="s">
        <v>24</v>
      </c>
      <c r="J30" s="5" t="s">
        <v>175</v>
      </c>
      <c r="K30" s="5" t="s">
        <v>69</v>
      </c>
      <c r="L30" s="5" t="s">
        <v>100</v>
      </c>
      <c r="M30" s="5">
        <v>6.08</v>
      </c>
      <c r="N30" s="5" t="s">
        <v>176</v>
      </c>
      <c r="O30" s="5" t="s">
        <v>131</v>
      </c>
      <c r="P30" s="5" t="s">
        <v>95</v>
      </c>
      <c r="Q30" s="5" t="s">
        <v>74</v>
      </c>
      <c r="R30" s="5" t="s">
        <v>75</v>
      </c>
      <c r="S30" s="5" t="s">
        <v>156</v>
      </c>
    </row>
    <row r="31" spans="1:19" x14ac:dyDescent="0.25">
      <c r="A31" s="5">
        <v>26</v>
      </c>
      <c r="B31" s="5" t="s">
        <v>58</v>
      </c>
      <c r="C31" s="5" t="s">
        <v>177</v>
      </c>
      <c r="D31" s="5" t="s">
        <v>178</v>
      </c>
      <c r="E31" s="5" t="s">
        <v>67</v>
      </c>
      <c r="F31" s="5" t="s">
        <v>62</v>
      </c>
      <c r="G31" s="5" t="s">
        <v>33</v>
      </c>
      <c r="H31" s="5" t="s">
        <v>63</v>
      </c>
      <c r="I31" s="5" t="s">
        <v>108</v>
      </c>
      <c r="J31" s="5" t="s">
        <v>64</v>
      </c>
      <c r="K31" s="5" t="s">
        <v>64</v>
      </c>
      <c r="L31" s="5" t="s">
        <v>64</v>
      </c>
      <c r="M31" s="5" t="s">
        <v>64</v>
      </c>
      <c r="N31" s="5" t="s">
        <v>64</v>
      </c>
      <c r="O31" s="5" t="s">
        <v>64</v>
      </c>
      <c r="P31" s="5" t="s">
        <v>64</v>
      </c>
      <c r="Q31" s="5" t="s">
        <v>64</v>
      </c>
      <c r="R31" s="5" t="s">
        <v>64</v>
      </c>
      <c r="S31" s="5" t="s">
        <v>64</v>
      </c>
    </row>
    <row r="32" spans="1:19" x14ac:dyDescent="0.25">
      <c r="A32" s="5">
        <v>27</v>
      </c>
      <c r="B32" s="5" t="s">
        <v>58</v>
      </c>
      <c r="C32" s="5" t="s">
        <v>179</v>
      </c>
      <c r="D32" s="5" t="s">
        <v>180</v>
      </c>
      <c r="E32" s="5" t="s">
        <v>61</v>
      </c>
      <c r="F32" s="5" t="s">
        <v>62</v>
      </c>
      <c r="G32" s="5" t="s">
        <v>33</v>
      </c>
      <c r="H32" s="5" t="s">
        <v>63</v>
      </c>
      <c r="I32" s="5" t="s">
        <v>24</v>
      </c>
      <c r="J32" s="5" t="s">
        <v>136</v>
      </c>
      <c r="K32" s="5" t="s">
        <v>69</v>
      </c>
      <c r="L32" s="5" t="s">
        <v>129</v>
      </c>
      <c r="M32" s="5">
        <v>3.24</v>
      </c>
      <c r="N32" s="5" t="s">
        <v>181</v>
      </c>
      <c r="O32" s="5" t="s">
        <v>72</v>
      </c>
      <c r="P32" s="5" t="s">
        <v>182</v>
      </c>
      <c r="Q32" s="5" t="s">
        <v>74</v>
      </c>
      <c r="R32" s="5" t="s">
        <v>75</v>
      </c>
      <c r="S32" s="5" t="s">
        <v>183</v>
      </c>
    </row>
    <row r="33" spans="1:19" x14ac:dyDescent="0.25">
      <c r="A33" s="5">
        <v>28</v>
      </c>
      <c r="B33" s="5" t="s">
        <v>58</v>
      </c>
      <c r="C33" s="5" t="s">
        <v>184</v>
      </c>
      <c r="D33" s="5" t="s">
        <v>185</v>
      </c>
      <c r="E33" s="5" t="s">
        <v>67</v>
      </c>
      <c r="F33" s="5" t="s">
        <v>62</v>
      </c>
      <c r="G33" s="5" t="s">
        <v>33</v>
      </c>
      <c r="H33" s="5" t="s">
        <v>63</v>
      </c>
      <c r="I33" s="5" t="s">
        <v>108</v>
      </c>
      <c r="J33" s="5" t="s">
        <v>64</v>
      </c>
      <c r="K33" s="5" t="s">
        <v>64</v>
      </c>
      <c r="L33" s="5" t="s">
        <v>64</v>
      </c>
      <c r="M33" s="5" t="s">
        <v>64</v>
      </c>
      <c r="N33" s="5" t="s">
        <v>64</v>
      </c>
      <c r="O33" s="5" t="s">
        <v>64</v>
      </c>
      <c r="P33" s="5" t="s">
        <v>64</v>
      </c>
      <c r="Q33" s="5" t="s">
        <v>64</v>
      </c>
      <c r="R33" s="5" t="s">
        <v>64</v>
      </c>
      <c r="S33" s="5" t="s">
        <v>64</v>
      </c>
    </row>
    <row r="34" spans="1:19" x14ac:dyDescent="0.25">
      <c r="A34" s="5">
        <v>29</v>
      </c>
      <c r="B34" s="5" t="s">
        <v>58</v>
      </c>
      <c r="C34" s="5" t="s">
        <v>186</v>
      </c>
      <c r="D34" s="5" t="s">
        <v>162</v>
      </c>
      <c r="E34" s="5" t="s">
        <v>61</v>
      </c>
      <c r="F34" s="5" t="s">
        <v>62</v>
      </c>
      <c r="G34" s="5" t="s">
        <v>33</v>
      </c>
      <c r="H34" s="5" t="s">
        <v>63</v>
      </c>
      <c r="I34" s="5" t="s">
        <v>24</v>
      </c>
      <c r="J34" s="5" t="s">
        <v>136</v>
      </c>
      <c r="K34" s="5" t="s">
        <v>69</v>
      </c>
      <c r="L34" s="5" t="s">
        <v>142</v>
      </c>
      <c r="M34" s="5">
        <v>3.11</v>
      </c>
      <c r="N34" s="5" t="s">
        <v>187</v>
      </c>
      <c r="O34" s="5" t="s">
        <v>81</v>
      </c>
      <c r="P34" s="5" t="s">
        <v>188</v>
      </c>
      <c r="Q34" s="5" t="s">
        <v>74</v>
      </c>
      <c r="R34" s="5" t="s">
        <v>75</v>
      </c>
      <c r="S34" s="5" t="s">
        <v>189</v>
      </c>
    </row>
    <row r="35" spans="1:19" x14ac:dyDescent="0.25">
      <c r="A35" s="5">
        <v>30</v>
      </c>
      <c r="B35" s="5" t="s">
        <v>58</v>
      </c>
      <c r="C35" s="5" t="s">
        <v>190</v>
      </c>
      <c r="D35" s="5" t="s">
        <v>191</v>
      </c>
      <c r="E35" s="5" t="s">
        <v>61</v>
      </c>
      <c r="F35" s="5" t="s">
        <v>62</v>
      </c>
      <c r="G35" s="5" t="s">
        <v>33</v>
      </c>
      <c r="H35" s="5" t="s">
        <v>63</v>
      </c>
      <c r="I35" s="5" t="s">
        <v>24</v>
      </c>
      <c r="J35" s="5" t="s">
        <v>175</v>
      </c>
      <c r="K35" s="5" t="s">
        <v>69</v>
      </c>
      <c r="L35" s="5" t="s">
        <v>93</v>
      </c>
      <c r="M35" s="5">
        <v>4.92</v>
      </c>
      <c r="N35" s="5" t="s">
        <v>192</v>
      </c>
      <c r="O35" s="5" t="s">
        <v>72</v>
      </c>
      <c r="P35" s="5" t="s">
        <v>193</v>
      </c>
      <c r="Q35" s="5" t="s">
        <v>74</v>
      </c>
      <c r="R35" s="5" t="s">
        <v>75</v>
      </c>
      <c r="S35" s="5" t="s">
        <v>194</v>
      </c>
    </row>
    <row r="36" spans="1:19" x14ac:dyDescent="0.25">
      <c r="A36" s="5">
        <v>31</v>
      </c>
      <c r="B36" s="5" t="s">
        <v>58</v>
      </c>
      <c r="C36" s="5" t="s">
        <v>195</v>
      </c>
      <c r="D36" s="5" t="s">
        <v>196</v>
      </c>
      <c r="E36" s="5" t="s">
        <v>61</v>
      </c>
      <c r="F36" s="5" t="s">
        <v>62</v>
      </c>
      <c r="G36" s="5" t="s">
        <v>33</v>
      </c>
      <c r="H36" s="5" t="s">
        <v>63</v>
      </c>
      <c r="I36" s="5" t="s">
        <v>24</v>
      </c>
      <c r="J36" s="5" t="s">
        <v>148</v>
      </c>
      <c r="K36" s="5" t="s">
        <v>69</v>
      </c>
      <c r="L36" s="5" t="s">
        <v>129</v>
      </c>
      <c r="M36" s="5">
        <v>4.25</v>
      </c>
      <c r="N36" s="5" t="s">
        <v>197</v>
      </c>
      <c r="O36" s="5" t="s">
        <v>81</v>
      </c>
      <c r="P36" s="5" t="s">
        <v>198</v>
      </c>
      <c r="Q36" s="5" t="s">
        <v>74</v>
      </c>
      <c r="R36" s="5" t="s">
        <v>75</v>
      </c>
      <c r="S36" s="5" t="s">
        <v>139</v>
      </c>
    </row>
    <row r="37" spans="1:19" x14ac:dyDescent="0.25">
      <c r="A37" s="5">
        <v>32</v>
      </c>
      <c r="B37" s="5" t="s">
        <v>58</v>
      </c>
      <c r="C37" s="5" t="s">
        <v>199</v>
      </c>
      <c r="D37" s="5" t="s">
        <v>200</v>
      </c>
      <c r="E37" s="5" t="s">
        <v>61</v>
      </c>
      <c r="F37" s="5" t="s">
        <v>62</v>
      </c>
      <c r="G37" s="5" t="s">
        <v>33</v>
      </c>
      <c r="H37" s="5" t="s">
        <v>63</v>
      </c>
      <c r="I37" s="5" t="s">
        <v>24</v>
      </c>
      <c r="J37" s="5" t="s">
        <v>148</v>
      </c>
      <c r="K37" s="5" t="s">
        <v>69</v>
      </c>
      <c r="L37" s="5" t="s">
        <v>70</v>
      </c>
      <c r="M37" s="5">
        <v>3.85</v>
      </c>
      <c r="N37" s="5" t="s">
        <v>201</v>
      </c>
      <c r="O37" s="5" t="s">
        <v>81</v>
      </c>
      <c r="P37" s="5" t="s">
        <v>202</v>
      </c>
      <c r="Q37" s="5" t="s">
        <v>74</v>
      </c>
      <c r="R37" s="5" t="s">
        <v>75</v>
      </c>
      <c r="S37" s="5" t="s">
        <v>203</v>
      </c>
    </row>
    <row r="38" spans="1:19" x14ac:dyDescent="0.25">
      <c r="A38" s="5">
        <v>33</v>
      </c>
      <c r="B38" s="5" t="s">
        <v>58</v>
      </c>
      <c r="C38" s="5" t="s">
        <v>204</v>
      </c>
      <c r="D38" s="5" t="s">
        <v>205</v>
      </c>
      <c r="E38" s="5" t="s">
        <v>61</v>
      </c>
      <c r="F38" s="5" t="s">
        <v>62</v>
      </c>
      <c r="G38" s="5" t="s">
        <v>33</v>
      </c>
      <c r="H38" s="5" t="s">
        <v>63</v>
      </c>
      <c r="I38" s="5" t="s">
        <v>24</v>
      </c>
      <c r="J38" s="5" t="s">
        <v>148</v>
      </c>
      <c r="K38" s="5" t="s">
        <v>69</v>
      </c>
      <c r="L38" s="5" t="s">
        <v>122</v>
      </c>
      <c r="M38" s="5">
        <v>4.32</v>
      </c>
      <c r="N38" s="5" t="s">
        <v>206</v>
      </c>
      <c r="O38" s="5" t="s">
        <v>131</v>
      </c>
      <c r="P38" s="5" t="s">
        <v>89</v>
      </c>
      <c r="Q38" s="5" t="s">
        <v>74</v>
      </c>
      <c r="R38" s="5" t="s">
        <v>75</v>
      </c>
      <c r="S38" s="5" t="s">
        <v>207</v>
      </c>
    </row>
    <row r="39" spans="1:19" x14ac:dyDescent="0.25">
      <c r="A39" s="5">
        <v>34</v>
      </c>
      <c r="B39" s="5" t="s">
        <v>58</v>
      </c>
      <c r="C39" s="5" t="s">
        <v>208</v>
      </c>
      <c r="D39" s="5" t="s">
        <v>209</v>
      </c>
      <c r="E39" s="5" t="s">
        <v>67</v>
      </c>
      <c r="F39" s="5" t="s">
        <v>62</v>
      </c>
      <c r="G39" s="5" t="s">
        <v>33</v>
      </c>
      <c r="H39" s="5" t="s">
        <v>63</v>
      </c>
      <c r="I39" s="5" t="s">
        <v>24</v>
      </c>
      <c r="J39" s="5" t="s">
        <v>148</v>
      </c>
      <c r="K39" s="5" t="s">
        <v>69</v>
      </c>
      <c r="L39" s="5" t="s">
        <v>129</v>
      </c>
      <c r="M39" s="5">
        <v>4.6</v>
      </c>
      <c r="N39" s="5" t="s">
        <v>210</v>
      </c>
      <c r="O39" s="5" t="s">
        <v>72</v>
      </c>
      <c r="P39" s="5" t="s">
        <v>144</v>
      </c>
      <c r="Q39" s="5" t="s">
        <v>74</v>
      </c>
      <c r="R39" s="5" t="s">
        <v>75</v>
      </c>
      <c r="S39" s="5" t="s">
        <v>156</v>
      </c>
    </row>
    <row r="40" spans="1:19" x14ac:dyDescent="0.25">
      <c r="A40" s="5">
        <v>35</v>
      </c>
      <c r="B40" s="5" t="s">
        <v>58</v>
      </c>
      <c r="C40" s="5" t="s">
        <v>211</v>
      </c>
      <c r="D40" s="5" t="s">
        <v>212</v>
      </c>
      <c r="E40" s="5" t="s">
        <v>61</v>
      </c>
      <c r="F40" s="5" t="s">
        <v>62</v>
      </c>
      <c r="G40" s="5" t="s">
        <v>33</v>
      </c>
      <c r="H40" s="5" t="s">
        <v>63</v>
      </c>
      <c r="I40" s="5" t="s">
        <v>24</v>
      </c>
      <c r="J40" s="5" t="s">
        <v>68</v>
      </c>
      <c r="K40" s="5" t="s">
        <v>69</v>
      </c>
      <c r="L40" s="5" t="s">
        <v>70</v>
      </c>
      <c r="M40" s="5">
        <v>5.33</v>
      </c>
      <c r="N40" s="5" t="s">
        <v>213</v>
      </c>
      <c r="O40" s="5" t="s">
        <v>72</v>
      </c>
      <c r="P40" s="5" t="s">
        <v>82</v>
      </c>
      <c r="Q40" s="5" t="s">
        <v>74</v>
      </c>
      <c r="R40" s="5" t="s">
        <v>75</v>
      </c>
      <c r="S40" s="5" t="s">
        <v>214</v>
      </c>
    </row>
    <row r="41" spans="1:19" x14ac:dyDescent="0.25">
      <c r="A41" s="5">
        <v>36</v>
      </c>
      <c r="B41" s="5" t="s">
        <v>58</v>
      </c>
      <c r="C41" s="5" t="s">
        <v>215</v>
      </c>
      <c r="D41" s="5" t="s">
        <v>216</v>
      </c>
      <c r="E41" s="5" t="s">
        <v>67</v>
      </c>
      <c r="F41" s="5" t="s">
        <v>62</v>
      </c>
      <c r="G41" s="5" t="s">
        <v>33</v>
      </c>
      <c r="H41" s="5" t="s">
        <v>63</v>
      </c>
      <c r="I41" s="5" t="s">
        <v>108</v>
      </c>
      <c r="J41" s="5" t="s">
        <v>64</v>
      </c>
      <c r="K41" s="5" t="s">
        <v>64</v>
      </c>
      <c r="L41" s="5" t="s">
        <v>64</v>
      </c>
      <c r="M41" s="5" t="s">
        <v>64</v>
      </c>
      <c r="N41" s="5" t="s">
        <v>64</v>
      </c>
      <c r="O41" s="5" t="s">
        <v>64</v>
      </c>
      <c r="P41" s="5" t="s">
        <v>64</v>
      </c>
      <c r="Q41" s="5" t="s">
        <v>64</v>
      </c>
      <c r="R41" s="5" t="s">
        <v>64</v>
      </c>
      <c r="S41" s="5" t="s">
        <v>64</v>
      </c>
    </row>
    <row r="42" spans="1:19" x14ac:dyDescent="0.25">
      <c r="A42" s="5">
        <v>37</v>
      </c>
      <c r="B42" s="5" t="s">
        <v>58</v>
      </c>
      <c r="C42" s="5" t="s">
        <v>217</v>
      </c>
      <c r="D42" s="5" t="s">
        <v>218</v>
      </c>
      <c r="E42" s="5" t="s">
        <v>61</v>
      </c>
      <c r="F42" s="5" t="s">
        <v>62</v>
      </c>
      <c r="G42" s="5" t="s">
        <v>33</v>
      </c>
      <c r="H42" s="5" t="s">
        <v>63</v>
      </c>
      <c r="I42" s="5" t="s">
        <v>108</v>
      </c>
      <c r="J42" s="5" t="s">
        <v>64</v>
      </c>
      <c r="K42" s="5" t="s">
        <v>64</v>
      </c>
      <c r="L42" s="5" t="s">
        <v>64</v>
      </c>
      <c r="M42" s="5" t="s">
        <v>64</v>
      </c>
      <c r="N42" s="5" t="s">
        <v>64</v>
      </c>
      <c r="O42" s="5" t="s">
        <v>64</v>
      </c>
      <c r="P42" s="5" t="s">
        <v>64</v>
      </c>
      <c r="Q42" s="5" t="s">
        <v>64</v>
      </c>
      <c r="R42" s="5" t="s">
        <v>64</v>
      </c>
      <c r="S42" s="5" t="s">
        <v>64</v>
      </c>
    </row>
    <row r="43" spans="1:19" x14ac:dyDescent="0.25">
      <c r="A43" s="5">
        <v>38</v>
      </c>
      <c r="B43" s="5" t="s">
        <v>58</v>
      </c>
      <c r="C43" s="5" t="s">
        <v>219</v>
      </c>
      <c r="D43" s="5" t="s">
        <v>127</v>
      </c>
      <c r="E43" s="5" t="s">
        <v>67</v>
      </c>
      <c r="F43" s="5" t="s">
        <v>62</v>
      </c>
      <c r="G43" s="5" t="s">
        <v>33</v>
      </c>
      <c r="H43" s="5" t="s">
        <v>63</v>
      </c>
      <c r="I43" s="5" t="s">
        <v>108</v>
      </c>
      <c r="J43" s="5" t="s">
        <v>64</v>
      </c>
      <c r="K43" s="5" t="s">
        <v>64</v>
      </c>
      <c r="L43" s="5" t="s">
        <v>64</v>
      </c>
      <c r="M43" s="5" t="s">
        <v>64</v>
      </c>
      <c r="N43" s="5" t="s">
        <v>64</v>
      </c>
      <c r="O43" s="5" t="s">
        <v>64</v>
      </c>
      <c r="P43" s="5" t="s">
        <v>64</v>
      </c>
      <c r="Q43" s="5" t="s">
        <v>64</v>
      </c>
      <c r="R43" s="5" t="s">
        <v>64</v>
      </c>
      <c r="S43" s="5" t="s">
        <v>64</v>
      </c>
    </row>
    <row r="44" spans="1:19" x14ac:dyDescent="0.25">
      <c r="A44" s="5">
        <v>39</v>
      </c>
      <c r="B44" s="5" t="s">
        <v>58</v>
      </c>
      <c r="C44" s="5" t="s">
        <v>220</v>
      </c>
      <c r="D44" s="5" t="s">
        <v>221</v>
      </c>
      <c r="E44" s="5" t="s">
        <v>61</v>
      </c>
      <c r="F44" s="5" t="s">
        <v>222</v>
      </c>
      <c r="G44" s="5" t="s">
        <v>36</v>
      </c>
      <c r="H44" s="5" t="s">
        <v>63</v>
      </c>
      <c r="I44" s="5" t="s">
        <v>24</v>
      </c>
      <c r="J44" s="5" t="s">
        <v>136</v>
      </c>
      <c r="K44" s="5" t="s">
        <v>69</v>
      </c>
      <c r="L44" s="5" t="s">
        <v>93</v>
      </c>
      <c r="M44" s="5">
        <v>2.94</v>
      </c>
      <c r="N44" s="5" t="s">
        <v>223</v>
      </c>
      <c r="O44" s="5" t="s">
        <v>81</v>
      </c>
      <c r="P44" s="5" t="s">
        <v>224</v>
      </c>
      <c r="Q44" s="5" t="s">
        <v>74</v>
      </c>
      <c r="R44" s="5" t="s">
        <v>75</v>
      </c>
      <c r="S44" s="5" t="s">
        <v>96</v>
      </c>
    </row>
    <row r="45" spans="1:19" x14ac:dyDescent="0.25">
      <c r="A45" s="5">
        <v>40</v>
      </c>
      <c r="B45" s="5" t="s">
        <v>58</v>
      </c>
      <c r="C45" s="5" t="s">
        <v>225</v>
      </c>
      <c r="D45" s="5" t="s">
        <v>226</v>
      </c>
      <c r="E45" s="5" t="s">
        <v>61</v>
      </c>
      <c r="F45" s="5" t="s">
        <v>222</v>
      </c>
      <c r="G45" s="5" t="s">
        <v>36</v>
      </c>
      <c r="H45" s="5" t="s">
        <v>63</v>
      </c>
      <c r="I45" s="5" t="s">
        <v>108</v>
      </c>
      <c r="J45" s="5" t="s">
        <v>64</v>
      </c>
      <c r="K45" s="5" t="s">
        <v>64</v>
      </c>
      <c r="L45" s="5" t="s">
        <v>64</v>
      </c>
      <c r="M45" s="5" t="s">
        <v>64</v>
      </c>
      <c r="N45" s="5" t="s">
        <v>64</v>
      </c>
      <c r="O45" s="5" t="s">
        <v>64</v>
      </c>
      <c r="P45" s="5" t="s">
        <v>64</v>
      </c>
      <c r="Q45" s="5" t="s">
        <v>64</v>
      </c>
      <c r="R45" s="5" t="s">
        <v>64</v>
      </c>
      <c r="S45" s="5" t="s">
        <v>64</v>
      </c>
    </row>
    <row r="46" spans="1:19" x14ac:dyDescent="0.25">
      <c r="A46" s="5">
        <v>41</v>
      </c>
      <c r="B46" s="5" t="s">
        <v>58</v>
      </c>
      <c r="C46" s="5" t="s">
        <v>227</v>
      </c>
      <c r="D46" s="5" t="s">
        <v>218</v>
      </c>
      <c r="E46" s="5" t="s">
        <v>61</v>
      </c>
      <c r="F46" s="5" t="s">
        <v>222</v>
      </c>
      <c r="G46" s="5" t="s">
        <v>36</v>
      </c>
      <c r="H46" s="5" t="s">
        <v>63</v>
      </c>
      <c r="I46" s="5" t="s">
        <v>24</v>
      </c>
      <c r="J46" s="5" t="s">
        <v>120</v>
      </c>
      <c r="K46" s="5" t="s">
        <v>121</v>
      </c>
      <c r="L46" s="5" t="s">
        <v>93</v>
      </c>
      <c r="M46" s="5">
        <v>5.11</v>
      </c>
      <c r="N46" s="5" t="s">
        <v>228</v>
      </c>
      <c r="O46" s="5" t="s">
        <v>131</v>
      </c>
      <c r="P46" s="5" t="s">
        <v>116</v>
      </c>
      <c r="Q46" s="5" t="s">
        <v>74</v>
      </c>
      <c r="R46" s="5" t="s">
        <v>75</v>
      </c>
      <c r="S46" s="5" t="s">
        <v>96</v>
      </c>
    </row>
    <row r="47" spans="1:19" x14ac:dyDescent="0.25">
      <c r="A47" s="5">
        <v>42</v>
      </c>
      <c r="B47" s="5" t="s">
        <v>58</v>
      </c>
      <c r="C47" s="5" t="s">
        <v>229</v>
      </c>
      <c r="D47" s="5" t="s">
        <v>230</v>
      </c>
      <c r="E47" s="5" t="s">
        <v>67</v>
      </c>
      <c r="F47" s="5" t="s">
        <v>222</v>
      </c>
      <c r="G47" s="5" t="s">
        <v>36</v>
      </c>
      <c r="H47" s="5" t="s">
        <v>63</v>
      </c>
      <c r="I47" s="5" t="s">
        <v>24</v>
      </c>
      <c r="J47" s="5" t="s">
        <v>231</v>
      </c>
      <c r="K47" s="5" t="s">
        <v>69</v>
      </c>
      <c r="L47" s="5" t="s">
        <v>142</v>
      </c>
      <c r="M47" s="5">
        <v>6.27</v>
      </c>
      <c r="N47" s="5" t="s">
        <v>232</v>
      </c>
      <c r="O47" s="5" t="s">
        <v>72</v>
      </c>
      <c r="P47" s="5" t="s">
        <v>95</v>
      </c>
      <c r="Q47" s="5" t="s">
        <v>74</v>
      </c>
      <c r="R47" s="5" t="s">
        <v>75</v>
      </c>
      <c r="S47" s="5" t="s">
        <v>233</v>
      </c>
    </row>
    <row r="48" spans="1:19" x14ac:dyDescent="0.25">
      <c r="A48" s="5">
        <v>43</v>
      </c>
      <c r="B48" s="5" t="s">
        <v>58</v>
      </c>
      <c r="C48" s="5" t="s">
        <v>234</v>
      </c>
      <c r="D48" s="5" t="s">
        <v>235</v>
      </c>
      <c r="E48" s="5" t="s">
        <v>61</v>
      </c>
      <c r="F48" s="5" t="s">
        <v>222</v>
      </c>
      <c r="G48" s="5" t="s">
        <v>36</v>
      </c>
      <c r="H48" s="5" t="s">
        <v>63</v>
      </c>
      <c r="I48" s="5" t="s">
        <v>24</v>
      </c>
      <c r="J48" s="5" t="s">
        <v>115</v>
      </c>
      <c r="K48" s="5" t="s">
        <v>69</v>
      </c>
      <c r="L48" s="5" t="s">
        <v>70</v>
      </c>
      <c r="M48" s="5">
        <v>7.08</v>
      </c>
      <c r="N48" s="5" t="s">
        <v>71</v>
      </c>
      <c r="O48" s="5" t="s">
        <v>131</v>
      </c>
      <c r="P48" s="5" t="s">
        <v>89</v>
      </c>
      <c r="Q48" s="5" t="s">
        <v>74</v>
      </c>
      <c r="R48" s="5" t="s">
        <v>75</v>
      </c>
      <c r="S48" s="5" t="s">
        <v>96</v>
      </c>
    </row>
    <row r="49" spans="1:19" x14ac:dyDescent="0.25">
      <c r="A49" s="5">
        <v>44</v>
      </c>
      <c r="B49" s="5" t="s">
        <v>58</v>
      </c>
      <c r="C49" s="5" t="s">
        <v>236</v>
      </c>
      <c r="D49" s="5" t="s">
        <v>237</v>
      </c>
      <c r="E49" s="5" t="s">
        <v>61</v>
      </c>
      <c r="F49" s="5" t="s">
        <v>222</v>
      </c>
      <c r="G49" s="5" t="s">
        <v>36</v>
      </c>
      <c r="H49" s="5" t="s">
        <v>63</v>
      </c>
      <c r="I49" s="5" t="s">
        <v>24</v>
      </c>
      <c r="J49" s="5" t="s">
        <v>79</v>
      </c>
      <c r="K49" s="5" t="s">
        <v>69</v>
      </c>
      <c r="L49" s="5" t="s">
        <v>93</v>
      </c>
      <c r="M49" s="5">
        <v>4.66</v>
      </c>
      <c r="N49" s="5" t="s">
        <v>238</v>
      </c>
      <c r="O49" s="5" t="s">
        <v>72</v>
      </c>
      <c r="P49" s="5" t="s">
        <v>132</v>
      </c>
      <c r="Q49" s="5" t="s">
        <v>74</v>
      </c>
      <c r="R49" s="5" t="s">
        <v>75</v>
      </c>
      <c r="S49" s="5" t="s">
        <v>90</v>
      </c>
    </row>
    <row r="50" spans="1:19" x14ac:dyDescent="0.25">
      <c r="A50" s="5">
        <v>45</v>
      </c>
      <c r="B50" s="5" t="s">
        <v>58</v>
      </c>
      <c r="C50" s="5" t="s">
        <v>239</v>
      </c>
      <c r="D50" s="5" t="s">
        <v>240</v>
      </c>
      <c r="E50" s="5" t="s">
        <v>67</v>
      </c>
      <c r="F50" s="5" t="s">
        <v>222</v>
      </c>
      <c r="G50" s="5" t="s">
        <v>36</v>
      </c>
      <c r="H50" s="5" t="s">
        <v>63</v>
      </c>
      <c r="I50" s="5" t="s">
        <v>108</v>
      </c>
      <c r="J50" s="5" t="s">
        <v>64</v>
      </c>
      <c r="K50" s="5" t="s">
        <v>64</v>
      </c>
      <c r="L50" s="5" t="s">
        <v>64</v>
      </c>
      <c r="M50" s="5" t="s">
        <v>64</v>
      </c>
      <c r="N50" s="5" t="s">
        <v>64</v>
      </c>
      <c r="O50" s="5" t="s">
        <v>64</v>
      </c>
      <c r="P50" s="5" t="s">
        <v>64</v>
      </c>
      <c r="Q50" s="5" t="s">
        <v>64</v>
      </c>
      <c r="R50" s="5" t="s">
        <v>64</v>
      </c>
      <c r="S50" s="5" t="s">
        <v>64</v>
      </c>
    </row>
    <row r="51" spans="1:19" x14ac:dyDescent="0.25">
      <c r="A51" s="5">
        <v>46</v>
      </c>
      <c r="B51" s="5" t="s">
        <v>58</v>
      </c>
      <c r="C51" s="5" t="s">
        <v>241</v>
      </c>
      <c r="D51" s="5" t="s">
        <v>242</v>
      </c>
      <c r="E51" s="5" t="s">
        <v>61</v>
      </c>
      <c r="F51" s="5" t="s">
        <v>222</v>
      </c>
      <c r="G51" s="5" t="s">
        <v>36</v>
      </c>
      <c r="H51" s="5" t="s">
        <v>63</v>
      </c>
      <c r="I51" s="5" t="s">
        <v>26</v>
      </c>
      <c r="J51" s="5" t="s">
        <v>64</v>
      </c>
      <c r="K51" s="5" t="s">
        <v>64</v>
      </c>
      <c r="L51" s="5" t="s">
        <v>64</v>
      </c>
      <c r="M51" s="5" t="s">
        <v>64</v>
      </c>
      <c r="N51" s="5" t="s">
        <v>64</v>
      </c>
      <c r="O51" s="5" t="s">
        <v>64</v>
      </c>
      <c r="P51" s="5" t="s">
        <v>64</v>
      </c>
      <c r="Q51" s="5" t="s">
        <v>64</v>
      </c>
      <c r="R51" s="5" t="s">
        <v>64</v>
      </c>
      <c r="S51" s="5" t="s">
        <v>64</v>
      </c>
    </row>
    <row r="52" spans="1:19" x14ac:dyDescent="0.25">
      <c r="A52" s="5">
        <v>47</v>
      </c>
      <c r="B52" s="5" t="s">
        <v>58</v>
      </c>
      <c r="C52" s="5" t="s">
        <v>243</v>
      </c>
      <c r="D52" s="5" t="s">
        <v>244</v>
      </c>
      <c r="E52" s="5" t="s">
        <v>67</v>
      </c>
      <c r="F52" s="5" t="s">
        <v>222</v>
      </c>
      <c r="G52" s="5" t="s">
        <v>36</v>
      </c>
      <c r="H52" s="5" t="s">
        <v>63</v>
      </c>
      <c r="I52" s="5" t="s">
        <v>108</v>
      </c>
      <c r="J52" s="5" t="s">
        <v>64</v>
      </c>
      <c r="K52" s="5" t="s">
        <v>64</v>
      </c>
      <c r="L52" s="5" t="s">
        <v>64</v>
      </c>
      <c r="M52" s="5" t="s">
        <v>64</v>
      </c>
      <c r="N52" s="5" t="s">
        <v>64</v>
      </c>
      <c r="O52" s="5" t="s">
        <v>64</v>
      </c>
      <c r="P52" s="5" t="s">
        <v>64</v>
      </c>
      <c r="Q52" s="5" t="s">
        <v>64</v>
      </c>
      <c r="R52" s="5" t="s">
        <v>64</v>
      </c>
      <c r="S52" s="5" t="s">
        <v>64</v>
      </c>
    </row>
    <row r="53" spans="1:19" x14ac:dyDescent="0.25">
      <c r="A53" s="5">
        <v>48</v>
      </c>
      <c r="B53" s="5" t="s">
        <v>58</v>
      </c>
      <c r="C53" s="5" t="s">
        <v>245</v>
      </c>
      <c r="D53" s="5" t="s">
        <v>246</v>
      </c>
      <c r="E53" s="5" t="s">
        <v>67</v>
      </c>
      <c r="F53" s="5" t="s">
        <v>222</v>
      </c>
      <c r="G53" s="5" t="s">
        <v>36</v>
      </c>
      <c r="H53" s="5" t="s">
        <v>63</v>
      </c>
      <c r="I53" s="5" t="s">
        <v>108</v>
      </c>
      <c r="J53" s="5" t="s">
        <v>64</v>
      </c>
      <c r="K53" s="5" t="s">
        <v>64</v>
      </c>
      <c r="L53" s="5" t="s">
        <v>64</v>
      </c>
      <c r="M53" s="5" t="s">
        <v>64</v>
      </c>
      <c r="N53" s="5" t="s">
        <v>64</v>
      </c>
      <c r="O53" s="5" t="s">
        <v>64</v>
      </c>
      <c r="P53" s="5" t="s">
        <v>64</v>
      </c>
      <c r="Q53" s="5" t="s">
        <v>64</v>
      </c>
      <c r="R53" s="5" t="s">
        <v>64</v>
      </c>
      <c r="S53" s="5" t="s">
        <v>64</v>
      </c>
    </row>
    <row r="54" spans="1:19" x14ac:dyDescent="0.25">
      <c r="A54" s="5">
        <v>49</v>
      </c>
      <c r="B54" s="5" t="s">
        <v>58</v>
      </c>
      <c r="C54" s="5" t="s">
        <v>247</v>
      </c>
      <c r="D54" s="5" t="s">
        <v>248</v>
      </c>
      <c r="E54" s="5" t="s">
        <v>61</v>
      </c>
      <c r="F54" s="5" t="s">
        <v>222</v>
      </c>
      <c r="G54" s="5" t="s">
        <v>36</v>
      </c>
      <c r="H54" s="5" t="s">
        <v>63</v>
      </c>
      <c r="I54" s="5" t="s">
        <v>24</v>
      </c>
      <c r="J54" s="5" t="s">
        <v>68</v>
      </c>
      <c r="K54" s="5" t="s">
        <v>69</v>
      </c>
      <c r="L54" s="5" t="s">
        <v>93</v>
      </c>
      <c r="M54" s="5">
        <v>6.86</v>
      </c>
      <c r="N54" s="5" t="s">
        <v>181</v>
      </c>
      <c r="O54" s="5" t="s">
        <v>72</v>
      </c>
      <c r="P54" s="5" t="s">
        <v>249</v>
      </c>
      <c r="Q54" s="5" t="s">
        <v>74</v>
      </c>
      <c r="R54" s="5" t="s">
        <v>75</v>
      </c>
      <c r="S54" s="5" t="s">
        <v>203</v>
      </c>
    </row>
    <row r="55" spans="1:19" x14ac:dyDescent="0.25">
      <c r="A55" s="5">
        <v>50</v>
      </c>
      <c r="B55" s="5" t="s">
        <v>58</v>
      </c>
      <c r="C55" s="5" t="s">
        <v>250</v>
      </c>
      <c r="D55" s="5" t="s">
        <v>251</v>
      </c>
      <c r="E55" s="5" t="s">
        <v>67</v>
      </c>
      <c r="F55" s="5" t="s">
        <v>222</v>
      </c>
      <c r="G55" s="5" t="s">
        <v>36</v>
      </c>
      <c r="H55" s="5" t="s">
        <v>63</v>
      </c>
      <c r="I55" s="5" t="s">
        <v>26</v>
      </c>
      <c r="J55" s="5" t="s">
        <v>64</v>
      </c>
      <c r="K55" s="5" t="s">
        <v>64</v>
      </c>
      <c r="L55" s="5" t="s">
        <v>64</v>
      </c>
      <c r="M55" s="5" t="s">
        <v>64</v>
      </c>
      <c r="N55" s="5" t="s">
        <v>64</v>
      </c>
      <c r="O55" s="5" t="s">
        <v>64</v>
      </c>
      <c r="P55" s="5" t="s">
        <v>64</v>
      </c>
      <c r="Q55" s="5" t="s">
        <v>64</v>
      </c>
      <c r="R55" s="5" t="s">
        <v>64</v>
      </c>
      <c r="S55" s="5" t="s">
        <v>64</v>
      </c>
    </row>
    <row r="56" spans="1:19" x14ac:dyDescent="0.25">
      <c r="A56" s="5">
        <v>51</v>
      </c>
      <c r="B56" s="5" t="s">
        <v>58</v>
      </c>
      <c r="C56" s="5" t="s">
        <v>252</v>
      </c>
      <c r="D56" s="5" t="s">
        <v>253</v>
      </c>
      <c r="E56" s="5" t="s">
        <v>67</v>
      </c>
      <c r="F56" s="5" t="s">
        <v>222</v>
      </c>
      <c r="G56" s="5" t="s">
        <v>36</v>
      </c>
      <c r="H56" s="5" t="s">
        <v>63</v>
      </c>
      <c r="I56" s="5" t="s">
        <v>24</v>
      </c>
      <c r="J56" s="5" t="s">
        <v>231</v>
      </c>
      <c r="K56" s="5" t="s">
        <v>69</v>
      </c>
      <c r="L56" s="5" t="s">
        <v>93</v>
      </c>
      <c r="M56" s="5">
        <v>6.63</v>
      </c>
      <c r="N56" s="5" t="s">
        <v>210</v>
      </c>
      <c r="O56" s="5" t="s">
        <v>131</v>
      </c>
      <c r="P56" s="5" t="s">
        <v>254</v>
      </c>
      <c r="Q56" s="5" t="s">
        <v>64</v>
      </c>
      <c r="R56" s="5" t="s">
        <v>75</v>
      </c>
      <c r="S56" s="5" t="s">
        <v>255</v>
      </c>
    </row>
    <row r="57" spans="1:19" x14ac:dyDescent="0.25">
      <c r="A57" s="5">
        <v>52</v>
      </c>
      <c r="B57" s="5" t="s">
        <v>58</v>
      </c>
      <c r="C57" s="5" t="s">
        <v>256</v>
      </c>
      <c r="D57" s="5" t="s">
        <v>257</v>
      </c>
      <c r="E57" s="5" t="s">
        <v>67</v>
      </c>
      <c r="F57" s="5" t="s">
        <v>222</v>
      </c>
      <c r="G57" s="5" t="s">
        <v>36</v>
      </c>
      <c r="H57" s="5" t="s">
        <v>63</v>
      </c>
      <c r="I57" s="5" t="s">
        <v>24</v>
      </c>
      <c r="J57" s="5" t="s">
        <v>99</v>
      </c>
      <c r="K57" s="5" t="s">
        <v>69</v>
      </c>
      <c r="L57" s="5" t="s">
        <v>122</v>
      </c>
      <c r="M57" s="5">
        <v>3.56</v>
      </c>
      <c r="N57" s="5" t="s">
        <v>258</v>
      </c>
      <c r="O57" s="5" t="s">
        <v>72</v>
      </c>
      <c r="P57" s="5" t="s">
        <v>259</v>
      </c>
      <c r="Q57" s="5" t="s">
        <v>74</v>
      </c>
      <c r="R57" s="5" t="s">
        <v>75</v>
      </c>
      <c r="S57" s="5" t="s">
        <v>233</v>
      </c>
    </row>
    <row r="58" spans="1:19" x14ac:dyDescent="0.25">
      <c r="A58" s="5">
        <v>53</v>
      </c>
      <c r="B58" s="5" t="s">
        <v>58</v>
      </c>
      <c r="C58" s="5" t="s">
        <v>260</v>
      </c>
      <c r="D58" s="5" t="s">
        <v>261</v>
      </c>
      <c r="E58" s="5" t="s">
        <v>61</v>
      </c>
      <c r="F58" s="5" t="s">
        <v>222</v>
      </c>
      <c r="G58" s="5" t="s">
        <v>36</v>
      </c>
      <c r="H58" s="5" t="s">
        <v>63</v>
      </c>
      <c r="I58" s="5" t="s">
        <v>24</v>
      </c>
      <c r="J58" s="5" t="s">
        <v>68</v>
      </c>
      <c r="K58" s="5" t="s">
        <v>69</v>
      </c>
      <c r="L58" s="5" t="s">
        <v>70</v>
      </c>
      <c r="M58" s="5">
        <v>5.5</v>
      </c>
      <c r="N58" s="5" t="s">
        <v>262</v>
      </c>
      <c r="O58" s="5" t="s">
        <v>72</v>
      </c>
      <c r="P58" s="5" t="s">
        <v>182</v>
      </c>
      <c r="Q58" s="5" t="s">
        <v>74</v>
      </c>
      <c r="R58" s="5" t="s">
        <v>75</v>
      </c>
      <c r="S58" s="5" t="s">
        <v>117</v>
      </c>
    </row>
    <row r="59" spans="1:19" x14ac:dyDescent="0.25">
      <c r="A59" s="5">
        <v>54</v>
      </c>
      <c r="B59" s="5" t="s">
        <v>58</v>
      </c>
      <c r="C59" s="5" t="s">
        <v>263</v>
      </c>
      <c r="D59" s="5" t="s">
        <v>185</v>
      </c>
      <c r="E59" s="5" t="s">
        <v>67</v>
      </c>
      <c r="F59" s="5" t="s">
        <v>222</v>
      </c>
      <c r="G59" s="5" t="s">
        <v>36</v>
      </c>
      <c r="H59" s="5" t="s">
        <v>63</v>
      </c>
      <c r="I59" s="5" t="s">
        <v>105</v>
      </c>
      <c r="J59" s="5" t="s">
        <v>64</v>
      </c>
      <c r="K59" s="5" t="s">
        <v>64</v>
      </c>
      <c r="L59" s="5" t="s">
        <v>64</v>
      </c>
      <c r="M59" s="5" t="s">
        <v>64</v>
      </c>
      <c r="N59" s="5" t="s">
        <v>64</v>
      </c>
      <c r="O59" s="5" t="s">
        <v>64</v>
      </c>
      <c r="P59" s="5" t="s">
        <v>64</v>
      </c>
      <c r="Q59" s="5" t="s">
        <v>64</v>
      </c>
      <c r="R59" s="5" t="s">
        <v>64</v>
      </c>
      <c r="S59" s="5" t="s">
        <v>64</v>
      </c>
    </row>
    <row r="60" spans="1:19" x14ac:dyDescent="0.25">
      <c r="A60" s="5">
        <v>55</v>
      </c>
      <c r="B60" s="5" t="s">
        <v>58</v>
      </c>
      <c r="C60" s="5" t="s">
        <v>264</v>
      </c>
      <c r="D60" s="5" t="s">
        <v>265</v>
      </c>
      <c r="E60" s="5" t="s">
        <v>67</v>
      </c>
      <c r="F60" s="5" t="s">
        <v>222</v>
      </c>
      <c r="G60" s="5" t="s">
        <v>36</v>
      </c>
      <c r="H60" s="5" t="s">
        <v>63</v>
      </c>
      <c r="I60" s="5" t="s">
        <v>108</v>
      </c>
      <c r="J60" s="5" t="s">
        <v>64</v>
      </c>
      <c r="K60" s="5" t="s">
        <v>64</v>
      </c>
      <c r="L60" s="5" t="s">
        <v>64</v>
      </c>
      <c r="M60" s="5" t="s">
        <v>64</v>
      </c>
      <c r="N60" s="5" t="s">
        <v>64</v>
      </c>
      <c r="O60" s="5" t="s">
        <v>64</v>
      </c>
      <c r="P60" s="5" t="s">
        <v>64</v>
      </c>
      <c r="Q60" s="5" t="s">
        <v>64</v>
      </c>
      <c r="R60" s="5" t="s">
        <v>64</v>
      </c>
      <c r="S60" s="5" t="s">
        <v>64</v>
      </c>
    </row>
    <row r="61" spans="1:19" x14ac:dyDescent="0.25">
      <c r="A61" s="5">
        <v>56</v>
      </c>
      <c r="B61" s="5" t="s">
        <v>58</v>
      </c>
      <c r="C61" s="5" t="s">
        <v>266</v>
      </c>
      <c r="D61" s="5" t="s">
        <v>267</v>
      </c>
      <c r="E61" s="5" t="s">
        <v>61</v>
      </c>
      <c r="F61" s="5" t="s">
        <v>222</v>
      </c>
      <c r="G61" s="5" t="s">
        <v>36</v>
      </c>
      <c r="H61" s="5" t="s">
        <v>63</v>
      </c>
      <c r="I61" s="5" t="s">
        <v>105</v>
      </c>
      <c r="J61" s="5" t="s">
        <v>64</v>
      </c>
      <c r="K61" s="5" t="s">
        <v>64</v>
      </c>
      <c r="L61" s="5" t="s">
        <v>64</v>
      </c>
      <c r="M61" s="5" t="s">
        <v>64</v>
      </c>
      <c r="N61" s="5" t="s">
        <v>64</v>
      </c>
      <c r="O61" s="5" t="s">
        <v>64</v>
      </c>
      <c r="P61" s="5" t="s">
        <v>64</v>
      </c>
      <c r="Q61" s="5" t="s">
        <v>64</v>
      </c>
      <c r="R61" s="5" t="s">
        <v>64</v>
      </c>
      <c r="S61" s="5" t="s">
        <v>64</v>
      </c>
    </row>
    <row r="62" spans="1:19" x14ac:dyDescent="0.25">
      <c r="A62" s="5">
        <v>57</v>
      </c>
      <c r="B62" s="5" t="s">
        <v>58</v>
      </c>
      <c r="C62" s="5" t="s">
        <v>268</v>
      </c>
      <c r="D62" s="5" t="s">
        <v>218</v>
      </c>
      <c r="E62" s="5" t="s">
        <v>67</v>
      </c>
      <c r="F62" s="5" t="s">
        <v>222</v>
      </c>
      <c r="G62" s="5" t="s">
        <v>36</v>
      </c>
      <c r="H62" s="5" t="s">
        <v>63</v>
      </c>
      <c r="I62" s="5" t="s">
        <v>24</v>
      </c>
      <c r="J62" s="5" t="s">
        <v>99</v>
      </c>
      <c r="K62" s="5" t="s">
        <v>69</v>
      </c>
      <c r="L62" s="5" t="s">
        <v>122</v>
      </c>
      <c r="M62" s="5">
        <v>4.67</v>
      </c>
      <c r="N62" s="5" t="s">
        <v>269</v>
      </c>
      <c r="O62" s="5" t="s">
        <v>72</v>
      </c>
      <c r="P62" s="5" t="s">
        <v>270</v>
      </c>
      <c r="Q62" s="5" t="s">
        <v>74</v>
      </c>
      <c r="R62" s="5" t="s">
        <v>75</v>
      </c>
      <c r="S62" s="5" t="s">
        <v>271</v>
      </c>
    </row>
    <row r="63" spans="1:19" x14ac:dyDescent="0.25">
      <c r="A63" s="5">
        <v>58</v>
      </c>
      <c r="B63" s="5" t="s">
        <v>58</v>
      </c>
      <c r="C63" s="5" t="s">
        <v>272</v>
      </c>
      <c r="D63" s="5" t="s">
        <v>273</v>
      </c>
      <c r="E63" s="5" t="s">
        <v>61</v>
      </c>
      <c r="F63" s="5" t="s">
        <v>222</v>
      </c>
      <c r="G63" s="5" t="s">
        <v>36</v>
      </c>
      <c r="H63" s="5" t="s">
        <v>63</v>
      </c>
      <c r="I63" s="5" t="s">
        <v>108</v>
      </c>
      <c r="J63" s="5" t="s">
        <v>64</v>
      </c>
      <c r="K63" s="5" t="s">
        <v>64</v>
      </c>
      <c r="L63" s="5" t="s">
        <v>64</v>
      </c>
      <c r="M63" s="5" t="s">
        <v>64</v>
      </c>
      <c r="N63" s="5" t="s">
        <v>64</v>
      </c>
      <c r="O63" s="5" t="s">
        <v>64</v>
      </c>
      <c r="P63" s="5" t="s">
        <v>64</v>
      </c>
      <c r="Q63" s="5" t="s">
        <v>64</v>
      </c>
      <c r="R63" s="5" t="s">
        <v>64</v>
      </c>
      <c r="S63" s="5" t="s">
        <v>64</v>
      </c>
    </row>
    <row r="64" spans="1:19" x14ac:dyDescent="0.25">
      <c r="A64" s="5">
        <v>59</v>
      </c>
      <c r="B64" s="5" t="s">
        <v>58</v>
      </c>
      <c r="C64" s="5" t="s">
        <v>274</v>
      </c>
      <c r="D64" s="5" t="s">
        <v>275</v>
      </c>
      <c r="E64" s="5" t="s">
        <v>61</v>
      </c>
      <c r="F64" s="5" t="s">
        <v>222</v>
      </c>
      <c r="G64" s="5" t="s">
        <v>36</v>
      </c>
      <c r="H64" s="5" t="s">
        <v>63</v>
      </c>
      <c r="I64" s="5" t="s">
        <v>24</v>
      </c>
      <c r="J64" s="5" t="s">
        <v>276</v>
      </c>
      <c r="K64" s="5" t="s">
        <v>277</v>
      </c>
      <c r="L64" s="5" t="s">
        <v>129</v>
      </c>
      <c r="M64" s="5">
        <v>5.36</v>
      </c>
      <c r="N64" s="5" t="s">
        <v>278</v>
      </c>
      <c r="O64" s="5" t="s">
        <v>81</v>
      </c>
      <c r="P64" s="5" t="s">
        <v>279</v>
      </c>
      <c r="Q64" s="5" t="s">
        <v>74</v>
      </c>
      <c r="R64" s="5" t="s">
        <v>75</v>
      </c>
      <c r="S64" s="5" t="s">
        <v>233</v>
      </c>
    </row>
    <row r="65" spans="1:19" x14ac:dyDescent="0.25">
      <c r="A65" s="5">
        <v>60</v>
      </c>
      <c r="B65" s="5" t="s">
        <v>58</v>
      </c>
      <c r="C65" s="5" t="s">
        <v>280</v>
      </c>
      <c r="D65" s="5" t="s">
        <v>281</v>
      </c>
      <c r="E65" s="5" t="s">
        <v>61</v>
      </c>
      <c r="F65" s="5" t="s">
        <v>222</v>
      </c>
      <c r="G65" s="5" t="s">
        <v>36</v>
      </c>
      <c r="H65" s="5" t="s">
        <v>63</v>
      </c>
      <c r="I65" s="5" t="s">
        <v>24</v>
      </c>
      <c r="J65" s="5" t="s">
        <v>99</v>
      </c>
      <c r="K65" s="5" t="s">
        <v>69</v>
      </c>
      <c r="L65" s="5" t="s">
        <v>100</v>
      </c>
      <c r="M65" s="5">
        <v>3.29</v>
      </c>
      <c r="N65" s="5" t="s">
        <v>282</v>
      </c>
      <c r="O65" s="5" t="s">
        <v>131</v>
      </c>
      <c r="P65" s="5" t="s">
        <v>89</v>
      </c>
      <c r="Q65" s="5" t="s">
        <v>74</v>
      </c>
      <c r="R65" s="5" t="s">
        <v>75</v>
      </c>
      <c r="S65" s="5" t="s">
        <v>283</v>
      </c>
    </row>
    <row r="66" spans="1:19" x14ac:dyDescent="0.25">
      <c r="A66" s="5">
        <v>61</v>
      </c>
      <c r="B66" s="5" t="s">
        <v>58</v>
      </c>
      <c r="C66" s="5" t="s">
        <v>284</v>
      </c>
      <c r="D66" s="5" t="s">
        <v>285</v>
      </c>
      <c r="E66" s="5" t="s">
        <v>61</v>
      </c>
      <c r="F66" s="5" t="s">
        <v>222</v>
      </c>
      <c r="G66" s="5" t="s">
        <v>36</v>
      </c>
      <c r="H66" s="5" t="s">
        <v>63</v>
      </c>
      <c r="I66" s="5" t="s">
        <v>24</v>
      </c>
      <c r="J66" s="5" t="s">
        <v>136</v>
      </c>
      <c r="K66" s="5" t="s">
        <v>69</v>
      </c>
      <c r="L66" s="5" t="s">
        <v>129</v>
      </c>
      <c r="M66" s="5">
        <v>4.25</v>
      </c>
      <c r="N66" s="5" t="s">
        <v>123</v>
      </c>
      <c r="O66" s="5" t="s">
        <v>131</v>
      </c>
      <c r="P66" s="5" t="s">
        <v>138</v>
      </c>
      <c r="Q66" s="5" t="s">
        <v>74</v>
      </c>
      <c r="R66" s="5" t="s">
        <v>75</v>
      </c>
      <c r="S66" s="5" t="s">
        <v>139</v>
      </c>
    </row>
    <row r="67" spans="1:19" x14ac:dyDescent="0.25">
      <c r="A67" s="5">
        <v>62</v>
      </c>
      <c r="B67" s="5" t="s">
        <v>58</v>
      </c>
      <c r="C67" s="5" t="s">
        <v>286</v>
      </c>
      <c r="D67" s="5" t="s">
        <v>287</v>
      </c>
      <c r="E67" s="5" t="s">
        <v>61</v>
      </c>
      <c r="F67" s="5" t="s">
        <v>222</v>
      </c>
      <c r="G67" s="5" t="s">
        <v>36</v>
      </c>
      <c r="H67" s="5" t="s">
        <v>63</v>
      </c>
      <c r="I67" s="5" t="s">
        <v>24</v>
      </c>
      <c r="J67" s="5" t="s">
        <v>115</v>
      </c>
      <c r="K67" s="5" t="s">
        <v>69</v>
      </c>
      <c r="L67" s="5" t="s">
        <v>70</v>
      </c>
      <c r="M67" s="5">
        <v>6.98</v>
      </c>
      <c r="N67" s="5" t="s">
        <v>288</v>
      </c>
      <c r="O67" s="5" t="s">
        <v>81</v>
      </c>
      <c r="P67" s="5" t="s">
        <v>289</v>
      </c>
      <c r="Q67" s="5" t="s">
        <v>74</v>
      </c>
      <c r="R67" s="5" t="s">
        <v>75</v>
      </c>
      <c r="S67" s="5" t="s">
        <v>189</v>
      </c>
    </row>
    <row r="68" spans="1:19" x14ac:dyDescent="0.25">
      <c r="A68" s="5">
        <v>63</v>
      </c>
      <c r="B68" s="5" t="s">
        <v>58</v>
      </c>
      <c r="C68" s="5" t="s">
        <v>290</v>
      </c>
      <c r="D68" s="5" t="s">
        <v>291</v>
      </c>
      <c r="E68" s="5" t="s">
        <v>67</v>
      </c>
      <c r="F68" s="5" t="s">
        <v>222</v>
      </c>
      <c r="G68" s="5" t="s">
        <v>36</v>
      </c>
      <c r="H68" s="5" t="s">
        <v>63</v>
      </c>
      <c r="I68" s="5" t="s">
        <v>24</v>
      </c>
      <c r="J68" s="5" t="s">
        <v>86</v>
      </c>
      <c r="K68" s="5" t="s">
        <v>87</v>
      </c>
      <c r="L68" s="5" t="s">
        <v>129</v>
      </c>
      <c r="M68" s="5">
        <v>5.41</v>
      </c>
      <c r="N68" s="5" t="s">
        <v>292</v>
      </c>
      <c r="O68" s="5" t="s">
        <v>131</v>
      </c>
      <c r="P68" s="5" t="s">
        <v>293</v>
      </c>
      <c r="Q68" s="5" t="s">
        <v>74</v>
      </c>
      <c r="R68" s="5" t="s">
        <v>75</v>
      </c>
      <c r="S68" s="5" t="s">
        <v>76</v>
      </c>
    </row>
    <row r="69" spans="1:19" x14ac:dyDescent="0.25">
      <c r="A69" s="5">
        <v>64</v>
      </c>
      <c r="B69" s="5" t="s">
        <v>58</v>
      </c>
      <c r="C69" s="5" t="s">
        <v>294</v>
      </c>
      <c r="D69" s="5" t="s">
        <v>295</v>
      </c>
      <c r="E69" s="5" t="s">
        <v>61</v>
      </c>
      <c r="F69" s="5" t="s">
        <v>222</v>
      </c>
      <c r="G69" s="5" t="s">
        <v>36</v>
      </c>
      <c r="H69" s="5" t="s">
        <v>63</v>
      </c>
      <c r="I69" s="5" t="s">
        <v>24</v>
      </c>
      <c r="J69" s="5" t="s">
        <v>115</v>
      </c>
      <c r="K69" s="5" t="s">
        <v>69</v>
      </c>
      <c r="L69" s="5" t="s">
        <v>142</v>
      </c>
      <c r="M69" s="5">
        <v>7.3</v>
      </c>
      <c r="N69" s="5" t="s">
        <v>296</v>
      </c>
      <c r="O69" s="5" t="s">
        <v>72</v>
      </c>
      <c r="P69" s="5" t="s">
        <v>102</v>
      </c>
      <c r="Q69" s="5" t="s">
        <v>74</v>
      </c>
      <c r="R69" s="5" t="s">
        <v>75</v>
      </c>
      <c r="S69" s="5" t="s">
        <v>145</v>
      </c>
    </row>
    <row r="70" spans="1:19" x14ac:dyDescent="0.25">
      <c r="A70" s="5">
        <v>65</v>
      </c>
      <c r="B70" s="5" t="s">
        <v>58</v>
      </c>
      <c r="C70" s="5" t="s">
        <v>297</v>
      </c>
      <c r="D70" s="5" t="s">
        <v>298</v>
      </c>
      <c r="E70" s="5" t="s">
        <v>67</v>
      </c>
      <c r="F70" s="5" t="s">
        <v>299</v>
      </c>
      <c r="G70" s="5" t="s">
        <v>34</v>
      </c>
      <c r="H70" s="5" t="s">
        <v>63</v>
      </c>
      <c r="I70" s="5" t="s">
        <v>24</v>
      </c>
      <c r="J70" s="5" t="s">
        <v>68</v>
      </c>
      <c r="K70" s="5" t="s">
        <v>69</v>
      </c>
      <c r="L70" s="5" t="s">
        <v>70</v>
      </c>
      <c r="M70" s="5">
        <v>6.78</v>
      </c>
      <c r="N70" s="5" t="s">
        <v>94</v>
      </c>
      <c r="O70" s="5" t="s">
        <v>72</v>
      </c>
      <c r="P70" s="5" t="s">
        <v>132</v>
      </c>
      <c r="Q70" s="5" t="s">
        <v>74</v>
      </c>
      <c r="R70" s="5" t="s">
        <v>75</v>
      </c>
      <c r="S70" s="5" t="s">
        <v>233</v>
      </c>
    </row>
    <row r="71" spans="1:19" x14ac:dyDescent="0.25">
      <c r="A71" s="5">
        <v>66</v>
      </c>
      <c r="B71" s="5" t="s">
        <v>58</v>
      </c>
      <c r="C71" s="5" t="s">
        <v>300</v>
      </c>
      <c r="D71" s="5" t="s">
        <v>301</v>
      </c>
      <c r="E71" s="5" t="s">
        <v>67</v>
      </c>
      <c r="F71" s="5" t="s">
        <v>299</v>
      </c>
      <c r="G71" s="5" t="s">
        <v>34</v>
      </c>
      <c r="H71" s="5" t="s">
        <v>63</v>
      </c>
      <c r="I71" s="5" t="s">
        <v>24</v>
      </c>
      <c r="J71" s="5" t="s">
        <v>276</v>
      </c>
      <c r="K71" s="5" t="s">
        <v>277</v>
      </c>
      <c r="L71" s="5" t="s">
        <v>70</v>
      </c>
      <c r="M71" s="5">
        <v>4.46</v>
      </c>
      <c r="N71" s="5" t="s">
        <v>288</v>
      </c>
      <c r="O71" s="5" t="s">
        <v>131</v>
      </c>
      <c r="P71" s="5" t="s">
        <v>82</v>
      </c>
      <c r="Q71" s="5" t="s">
        <v>74</v>
      </c>
      <c r="R71" s="5" t="s">
        <v>75</v>
      </c>
      <c r="S71" s="5" t="s">
        <v>302</v>
      </c>
    </row>
    <row r="72" spans="1:19" x14ac:dyDescent="0.25">
      <c r="A72" s="5">
        <v>67</v>
      </c>
      <c r="B72" s="5" t="s">
        <v>58</v>
      </c>
      <c r="C72" s="5" t="s">
        <v>303</v>
      </c>
      <c r="D72" s="5" t="s">
        <v>304</v>
      </c>
      <c r="E72" s="5" t="s">
        <v>67</v>
      </c>
      <c r="F72" s="5" t="s">
        <v>299</v>
      </c>
      <c r="G72" s="5" t="s">
        <v>34</v>
      </c>
      <c r="H72" s="5" t="s">
        <v>63</v>
      </c>
      <c r="I72" s="5" t="s">
        <v>24</v>
      </c>
      <c r="J72" s="5" t="s">
        <v>68</v>
      </c>
      <c r="K72" s="5" t="s">
        <v>69</v>
      </c>
      <c r="L72" s="5" t="s">
        <v>70</v>
      </c>
      <c r="M72" s="5">
        <v>6.52</v>
      </c>
      <c r="N72" s="5" t="s">
        <v>305</v>
      </c>
      <c r="O72" s="5" t="s">
        <v>72</v>
      </c>
      <c r="P72" s="5" t="s">
        <v>95</v>
      </c>
      <c r="Q72" s="5" t="s">
        <v>64</v>
      </c>
      <c r="R72" s="5" t="s">
        <v>75</v>
      </c>
      <c r="S72" s="5" t="s">
        <v>306</v>
      </c>
    </row>
    <row r="73" spans="1:19" x14ac:dyDescent="0.25">
      <c r="A73" s="5">
        <v>68</v>
      </c>
      <c r="B73" s="5" t="s">
        <v>58</v>
      </c>
      <c r="C73" s="5" t="s">
        <v>307</v>
      </c>
      <c r="D73" s="5" t="s">
        <v>308</v>
      </c>
      <c r="E73" s="5" t="s">
        <v>67</v>
      </c>
      <c r="F73" s="5" t="s">
        <v>299</v>
      </c>
      <c r="G73" s="5" t="s">
        <v>34</v>
      </c>
      <c r="H73" s="5" t="s">
        <v>63</v>
      </c>
      <c r="I73" s="5" t="s">
        <v>105</v>
      </c>
      <c r="J73" s="5" t="s">
        <v>64</v>
      </c>
      <c r="K73" s="5" t="s">
        <v>64</v>
      </c>
      <c r="L73" s="5" t="s">
        <v>64</v>
      </c>
      <c r="M73" s="5" t="s">
        <v>64</v>
      </c>
      <c r="N73" s="5" t="s">
        <v>64</v>
      </c>
      <c r="O73" s="5" t="s">
        <v>64</v>
      </c>
      <c r="P73" s="5" t="s">
        <v>64</v>
      </c>
      <c r="Q73" s="5" t="s">
        <v>64</v>
      </c>
      <c r="R73" s="5" t="s">
        <v>64</v>
      </c>
      <c r="S73" s="5" t="s">
        <v>64</v>
      </c>
    </row>
    <row r="74" spans="1:19" x14ac:dyDescent="0.25">
      <c r="A74" s="5">
        <v>69</v>
      </c>
      <c r="B74" s="5" t="s">
        <v>58</v>
      </c>
      <c r="C74" s="5" t="s">
        <v>309</v>
      </c>
      <c r="D74" s="5" t="s">
        <v>310</v>
      </c>
      <c r="E74" s="5" t="s">
        <v>67</v>
      </c>
      <c r="F74" s="5" t="s">
        <v>299</v>
      </c>
      <c r="G74" s="5" t="s">
        <v>34</v>
      </c>
      <c r="H74" s="5" t="s">
        <v>63</v>
      </c>
      <c r="I74" s="5" t="s">
        <v>24</v>
      </c>
      <c r="J74" s="5" t="s">
        <v>276</v>
      </c>
      <c r="K74" s="5" t="s">
        <v>277</v>
      </c>
      <c r="L74" s="5" t="s">
        <v>93</v>
      </c>
      <c r="M74" s="5">
        <v>4.41</v>
      </c>
      <c r="N74" s="5" t="s">
        <v>311</v>
      </c>
      <c r="O74" s="5" t="s">
        <v>131</v>
      </c>
      <c r="P74" s="5" t="s">
        <v>116</v>
      </c>
      <c r="Q74" s="5" t="s">
        <v>74</v>
      </c>
      <c r="R74" s="5" t="s">
        <v>75</v>
      </c>
      <c r="S74" s="5" t="s">
        <v>255</v>
      </c>
    </row>
    <row r="75" spans="1:19" x14ac:dyDescent="0.25">
      <c r="A75" s="5">
        <v>70</v>
      </c>
      <c r="B75" s="5" t="s">
        <v>58</v>
      </c>
      <c r="C75" s="5" t="s">
        <v>312</v>
      </c>
      <c r="D75" s="5" t="s">
        <v>313</v>
      </c>
      <c r="E75" s="5" t="s">
        <v>61</v>
      </c>
      <c r="F75" s="5" t="s">
        <v>299</v>
      </c>
      <c r="G75" s="5" t="s">
        <v>34</v>
      </c>
      <c r="H75" s="5" t="s">
        <v>63</v>
      </c>
      <c r="I75" s="5" t="s">
        <v>24</v>
      </c>
      <c r="J75" s="5" t="s">
        <v>128</v>
      </c>
      <c r="K75" s="5" t="s">
        <v>121</v>
      </c>
      <c r="L75" s="5" t="s">
        <v>129</v>
      </c>
      <c r="M75" s="5">
        <v>3.45</v>
      </c>
      <c r="N75" s="5" t="s">
        <v>314</v>
      </c>
      <c r="O75" s="5" t="s">
        <v>81</v>
      </c>
      <c r="P75" s="5" t="s">
        <v>315</v>
      </c>
      <c r="Q75" s="5" t="s">
        <v>74</v>
      </c>
      <c r="R75" s="5" t="s">
        <v>75</v>
      </c>
      <c r="S75" s="5" t="s">
        <v>145</v>
      </c>
    </row>
    <row r="76" spans="1:19" x14ac:dyDescent="0.25">
      <c r="A76" s="5">
        <v>71</v>
      </c>
      <c r="B76" s="5" t="s">
        <v>58</v>
      </c>
      <c r="C76" s="5" t="s">
        <v>316</v>
      </c>
      <c r="D76" s="5" t="s">
        <v>317</v>
      </c>
      <c r="E76" s="5" t="s">
        <v>61</v>
      </c>
      <c r="F76" s="5" t="s">
        <v>299</v>
      </c>
      <c r="G76" s="5" t="s">
        <v>34</v>
      </c>
      <c r="H76" s="5" t="s">
        <v>63</v>
      </c>
      <c r="I76" s="5" t="s">
        <v>24</v>
      </c>
      <c r="J76" s="5" t="s">
        <v>99</v>
      </c>
      <c r="K76" s="5" t="s">
        <v>69</v>
      </c>
      <c r="L76" s="5" t="s">
        <v>129</v>
      </c>
      <c r="M76" s="5">
        <v>3.68</v>
      </c>
      <c r="N76" s="5" t="s">
        <v>318</v>
      </c>
      <c r="O76" s="5" t="s">
        <v>72</v>
      </c>
      <c r="P76" s="5" t="s">
        <v>172</v>
      </c>
      <c r="Q76" s="5" t="s">
        <v>74</v>
      </c>
      <c r="R76" s="5" t="s">
        <v>75</v>
      </c>
      <c r="S76" s="5" t="s">
        <v>83</v>
      </c>
    </row>
    <row r="77" spans="1:19" x14ac:dyDescent="0.25">
      <c r="A77" s="5">
        <v>72</v>
      </c>
      <c r="B77" s="5" t="s">
        <v>58</v>
      </c>
      <c r="C77" s="5" t="s">
        <v>319</v>
      </c>
      <c r="D77" s="5" t="s">
        <v>320</v>
      </c>
      <c r="E77" s="5" t="s">
        <v>61</v>
      </c>
      <c r="F77" s="5" t="s">
        <v>299</v>
      </c>
      <c r="G77" s="5" t="s">
        <v>34</v>
      </c>
      <c r="H77" s="5" t="s">
        <v>63</v>
      </c>
      <c r="I77" s="5" t="s">
        <v>24</v>
      </c>
      <c r="J77" s="5" t="s">
        <v>68</v>
      </c>
      <c r="K77" s="5" t="s">
        <v>69</v>
      </c>
      <c r="L77" s="5" t="s">
        <v>93</v>
      </c>
      <c r="M77" s="5">
        <v>5.58</v>
      </c>
      <c r="N77" s="5" t="s">
        <v>321</v>
      </c>
      <c r="O77" s="5" t="s">
        <v>131</v>
      </c>
      <c r="P77" s="5" t="s">
        <v>73</v>
      </c>
      <c r="Q77" s="5" t="s">
        <v>74</v>
      </c>
      <c r="R77" s="5" t="s">
        <v>75</v>
      </c>
      <c r="S77" s="5" t="s">
        <v>151</v>
      </c>
    </row>
    <row r="78" spans="1:19" x14ac:dyDescent="0.25">
      <c r="A78" s="5">
        <v>73</v>
      </c>
      <c r="B78" s="5" t="s">
        <v>58</v>
      </c>
      <c r="C78" s="5" t="s">
        <v>322</v>
      </c>
      <c r="D78" s="5" t="s">
        <v>323</v>
      </c>
      <c r="E78" s="5" t="s">
        <v>61</v>
      </c>
      <c r="F78" s="5" t="s">
        <v>299</v>
      </c>
      <c r="G78" s="5" t="s">
        <v>34</v>
      </c>
      <c r="H78" s="5" t="s">
        <v>63</v>
      </c>
      <c r="I78" s="5" t="s">
        <v>108</v>
      </c>
      <c r="J78" s="5" t="s">
        <v>64</v>
      </c>
      <c r="K78" s="5" t="s">
        <v>64</v>
      </c>
      <c r="L78" s="5" t="s">
        <v>64</v>
      </c>
      <c r="M78" s="5" t="s">
        <v>64</v>
      </c>
      <c r="N78" s="5" t="s">
        <v>64</v>
      </c>
      <c r="O78" s="5" t="s">
        <v>64</v>
      </c>
      <c r="P78" s="5" t="s">
        <v>64</v>
      </c>
      <c r="Q78" s="5" t="s">
        <v>64</v>
      </c>
      <c r="R78" s="5" t="s">
        <v>64</v>
      </c>
      <c r="S78" s="5" t="s">
        <v>64</v>
      </c>
    </row>
    <row r="79" spans="1:19" x14ac:dyDescent="0.25">
      <c r="A79" s="5">
        <v>74</v>
      </c>
      <c r="B79" s="5" t="s">
        <v>58</v>
      </c>
      <c r="C79" s="5" t="s">
        <v>324</v>
      </c>
      <c r="D79" s="5" t="s">
        <v>110</v>
      </c>
      <c r="E79" s="5" t="s">
        <v>67</v>
      </c>
      <c r="F79" s="5" t="s">
        <v>299</v>
      </c>
      <c r="G79" s="5" t="s">
        <v>34</v>
      </c>
      <c r="H79" s="5" t="s">
        <v>63</v>
      </c>
      <c r="I79" s="5" t="s">
        <v>24</v>
      </c>
      <c r="J79" s="5" t="s">
        <v>68</v>
      </c>
      <c r="K79" s="5" t="s">
        <v>69</v>
      </c>
      <c r="L79" s="5" t="s">
        <v>93</v>
      </c>
      <c r="M79" s="5">
        <v>6.6</v>
      </c>
      <c r="N79" s="5" t="s">
        <v>325</v>
      </c>
      <c r="O79" s="5" t="s">
        <v>72</v>
      </c>
      <c r="P79" s="5" t="s">
        <v>326</v>
      </c>
      <c r="Q79" s="5" t="s">
        <v>74</v>
      </c>
      <c r="R79" s="5" t="s">
        <v>75</v>
      </c>
      <c r="S79" s="5" t="s">
        <v>183</v>
      </c>
    </row>
    <row r="80" spans="1:19" x14ac:dyDescent="0.25">
      <c r="A80" s="5">
        <v>75</v>
      </c>
      <c r="B80" s="5" t="s">
        <v>58</v>
      </c>
      <c r="C80" s="5" t="s">
        <v>327</v>
      </c>
      <c r="D80" s="5" t="s">
        <v>328</v>
      </c>
      <c r="E80" s="5" t="s">
        <v>67</v>
      </c>
      <c r="F80" s="5" t="s">
        <v>299</v>
      </c>
      <c r="G80" s="5" t="s">
        <v>34</v>
      </c>
      <c r="H80" s="5" t="s">
        <v>63</v>
      </c>
      <c r="I80" s="5" t="s">
        <v>24</v>
      </c>
      <c r="J80" s="5" t="s">
        <v>148</v>
      </c>
      <c r="K80" s="5" t="s">
        <v>69</v>
      </c>
      <c r="L80" s="5" t="s">
        <v>122</v>
      </c>
      <c r="M80" s="5">
        <v>5.14</v>
      </c>
      <c r="N80" s="5" t="s">
        <v>329</v>
      </c>
      <c r="O80" s="5" t="s">
        <v>72</v>
      </c>
      <c r="P80" s="5" t="s">
        <v>330</v>
      </c>
      <c r="Q80" s="5" t="s">
        <v>74</v>
      </c>
      <c r="R80" s="5" t="s">
        <v>75</v>
      </c>
      <c r="S80" s="5" t="s">
        <v>96</v>
      </c>
    </row>
    <row r="81" spans="1:19" x14ac:dyDescent="0.25">
      <c r="A81" s="5">
        <v>76</v>
      </c>
      <c r="B81" s="5" t="s">
        <v>58</v>
      </c>
      <c r="C81" s="5" t="s">
        <v>331</v>
      </c>
      <c r="D81" s="5" t="s">
        <v>332</v>
      </c>
      <c r="E81" s="5" t="s">
        <v>61</v>
      </c>
      <c r="F81" s="5" t="s">
        <v>299</v>
      </c>
      <c r="G81" s="5" t="s">
        <v>34</v>
      </c>
      <c r="H81" s="5" t="s">
        <v>63</v>
      </c>
      <c r="I81" s="5" t="s">
        <v>24</v>
      </c>
      <c r="J81" s="5" t="s">
        <v>231</v>
      </c>
      <c r="K81" s="5" t="s">
        <v>69</v>
      </c>
      <c r="L81" s="5" t="s">
        <v>129</v>
      </c>
      <c r="M81" s="5">
        <v>6.37</v>
      </c>
      <c r="N81" s="5" t="s">
        <v>333</v>
      </c>
      <c r="O81" s="5" t="s">
        <v>131</v>
      </c>
      <c r="P81" s="5" t="s">
        <v>334</v>
      </c>
      <c r="Q81" s="5" t="s">
        <v>74</v>
      </c>
      <c r="R81" s="5" t="s">
        <v>75</v>
      </c>
      <c r="S81" s="5" t="s">
        <v>96</v>
      </c>
    </row>
    <row r="82" spans="1:19" x14ac:dyDescent="0.25">
      <c r="A82" s="5">
        <v>77</v>
      </c>
      <c r="B82" s="5" t="s">
        <v>58</v>
      </c>
      <c r="C82" s="5" t="s">
        <v>335</v>
      </c>
      <c r="D82" s="5" t="s">
        <v>336</v>
      </c>
      <c r="E82" s="5" t="s">
        <v>61</v>
      </c>
      <c r="F82" s="5" t="s">
        <v>299</v>
      </c>
      <c r="G82" s="5" t="s">
        <v>34</v>
      </c>
      <c r="H82" s="5" t="s">
        <v>63</v>
      </c>
      <c r="I82" s="5" t="s">
        <v>24</v>
      </c>
      <c r="J82" s="5" t="s">
        <v>68</v>
      </c>
      <c r="K82" s="5" t="s">
        <v>69</v>
      </c>
      <c r="L82" s="5" t="s">
        <v>93</v>
      </c>
      <c r="M82" s="5">
        <v>5.35</v>
      </c>
      <c r="N82" s="5" t="s">
        <v>149</v>
      </c>
      <c r="O82" s="5" t="s">
        <v>72</v>
      </c>
      <c r="P82" s="5" t="s">
        <v>270</v>
      </c>
      <c r="Q82" s="5" t="s">
        <v>74</v>
      </c>
      <c r="R82" s="5" t="s">
        <v>75</v>
      </c>
      <c r="S82" s="5" t="s">
        <v>337</v>
      </c>
    </row>
    <row r="83" spans="1:19" x14ac:dyDescent="0.25">
      <c r="A83" s="5">
        <v>78</v>
      </c>
      <c r="B83" s="5" t="s">
        <v>58</v>
      </c>
      <c r="C83" s="5" t="s">
        <v>338</v>
      </c>
      <c r="D83" s="5" t="s">
        <v>339</v>
      </c>
      <c r="E83" s="5" t="s">
        <v>61</v>
      </c>
      <c r="F83" s="5" t="s">
        <v>299</v>
      </c>
      <c r="G83" s="5" t="s">
        <v>34</v>
      </c>
      <c r="H83" s="5" t="s">
        <v>63</v>
      </c>
      <c r="I83" s="5" t="s">
        <v>108</v>
      </c>
      <c r="J83" s="5" t="s">
        <v>64</v>
      </c>
      <c r="K83" s="5" t="s">
        <v>64</v>
      </c>
      <c r="L83" s="5" t="s">
        <v>64</v>
      </c>
      <c r="M83" s="5" t="s">
        <v>64</v>
      </c>
      <c r="N83" s="5" t="s">
        <v>64</v>
      </c>
      <c r="O83" s="5" t="s">
        <v>64</v>
      </c>
      <c r="P83" s="5" t="s">
        <v>64</v>
      </c>
      <c r="Q83" s="5" t="s">
        <v>64</v>
      </c>
      <c r="R83" s="5" t="s">
        <v>64</v>
      </c>
      <c r="S83" s="5" t="s">
        <v>64</v>
      </c>
    </row>
    <row r="84" spans="1:19" x14ac:dyDescent="0.25">
      <c r="A84" s="5">
        <v>79</v>
      </c>
      <c r="B84" s="5" t="s">
        <v>58</v>
      </c>
      <c r="C84" s="5" t="s">
        <v>340</v>
      </c>
      <c r="D84" s="5" t="s">
        <v>313</v>
      </c>
      <c r="E84" s="5" t="s">
        <v>61</v>
      </c>
      <c r="F84" s="5" t="s">
        <v>299</v>
      </c>
      <c r="G84" s="5" t="s">
        <v>34</v>
      </c>
      <c r="H84" s="5" t="s">
        <v>63</v>
      </c>
      <c r="I84" s="5" t="s">
        <v>24</v>
      </c>
      <c r="J84" s="5" t="s">
        <v>68</v>
      </c>
      <c r="K84" s="5" t="s">
        <v>69</v>
      </c>
      <c r="L84" s="5" t="s">
        <v>142</v>
      </c>
      <c r="M84" s="5">
        <v>6.2</v>
      </c>
      <c r="N84" s="5" t="s">
        <v>341</v>
      </c>
      <c r="O84" s="5" t="s">
        <v>72</v>
      </c>
      <c r="P84" s="5" t="s">
        <v>279</v>
      </c>
      <c r="Q84" s="5" t="s">
        <v>74</v>
      </c>
      <c r="R84" s="5" t="s">
        <v>75</v>
      </c>
      <c r="S84" s="5" t="s">
        <v>214</v>
      </c>
    </row>
    <row r="85" spans="1:19" x14ac:dyDescent="0.25">
      <c r="A85" s="5">
        <v>80</v>
      </c>
      <c r="B85" s="5" t="s">
        <v>58</v>
      </c>
      <c r="C85" s="5" t="s">
        <v>342</v>
      </c>
      <c r="D85" s="5" t="s">
        <v>343</v>
      </c>
      <c r="E85" s="5" t="s">
        <v>67</v>
      </c>
      <c r="F85" s="5" t="s">
        <v>299</v>
      </c>
      <c r="G85" s="5" t="s">
        <v>34</v>
      </c>
      <c r="H85" s="5" t="s">
        <v>63</v>
      </c>
      <c r="I85" s="5" t="s">
        <v>24</v>
      </c>
      <c r="J85" s="5" t="s">
        <v>86</v>
      </c>
      <c r="K85" s="5" t="s">
        <v>87</v>
      </c>
      <c r="L85" s="5" t="s">
        <v>129</v>
      </c>
      <c r="M85" s="5">
        <v>5.19</v>
      </c>
      <c r="N85" s="5" t="s">
        <v>344</v>
      </c>
      <c r="O85" s="5" t="s">
        <v>81</v>
      </c>
      <c r="P85" s="5" t="s">
        <v>172</v>
      </c>
      <c r="Q85" s="5" t="s">
        <v>74</v>
      </c>
      <c r="R85" s="5" t="s">
        <v>75</v>
      </c>
      <c r="S85" s="5" t="s">
        <v>189</v>
      </c>
    </row>
    <row r="86" spans="1:19" x14ac:dyDescent="0.25">
      <c r="A86" s="5">
        <v>81</v>
      </c>
      <c r="B86" s="5" t="s">
        <v>58</v>
      </c>
      <c r="C86" s="5" t="s">
        <v>345</v>
      </c>
      <c r="D86" s="5" t="s">
        <v>346</v>
      </c>
      <c r="E86" s="5" t="s">
        <v>67</v>
      </c>
      <c r="F86" s="5" t="s">
        <v>299</v>
      </c>
      <c r="G86" s="5" t="s">
        <v>34</v>
      </c>
      <c r="H86" s="5" t="s">
        <v>63</v>
      </c>
      <c r="I86" s="5" t="s">
        <v>24</v>
      </c>
      <c r="J86" s="5" t="s">
        <v>79</v>
      </c>
      <c r="K86" s="5" t="s">
        <v>69</v>
      </c>
      <c r="L86" s="5" t="s">
        <v>93</v>
      </c>
      <c r="M86" s="5">
        <v>4.93</v>
      </c>
      <c r="N86" s="5" t="s">
        <v>278</v>
      </c>
      <c r="O86" s="5" t="s">
        <v>81</v>
      </c>
      <c r="P86" s="5" t="s">
        <v>330</v>
      </c>
      <c r="Q86" s="5" t="s">
        <v>74</v>
      </c>
      <c r="R86" s="5" t="s">
        <v>75</v>
      </c>
      <c r="S86" s="5" t="s">
        <v>255</v>
      </c>
    </row>
    <row r="87" spans="1:19" x14ac:dyDescent="0.25">
      <c r="A87" s="5">
        <v>82</v>
      </c>
      <c r="B87" s="5" t="s">
        <v>58</v>
      </c>
      <c r="C87" s="5" t="s">
        <v>347</v>
      </c>
      <c r="D87" s="5" t="s">
        <v>348</v>
      </c>
      <c r="E87" s="5" t="s">
        <v>61</v>
      </c>
      <c r="F87" s="5" t="s">
        <v>299</v>
      </c>
      <c r="G87" s="5" t="s">
        <v>34</v>
      </c>
      <c r="H87" s="5" t="s">
        <v>63</v>
      </c>
      <c r="I87" s="5" t="s">
        <v>24</v>
      </c>
      <c r="J87" s="5" t="s">
        <v>115</v>
      </c>
      <c r="K87" s="5" t="s">
        <v>69</v>
      </c>
      <c r="L87" s="5" t="s">
        <v>122</v>
      </c>
      <c r="M87" s="5">
        <v>8.22</v>
      </c>
      <c r="N87" s="5" t="s">
        <v>349</v>
      </c>
      <c r="O87" s="5" t="s">
        <v>72</v>
      </c>
      <c r="P87" s="5" t="s">
        <v>116</v>
      </c>
      <c r="Q87" s="5" t="s">
        <v>64</v>
      </c>
      <c r="R87" s="5" t="s">
        <v>75</v>
      </c>
      <c r="S87" s="5" t="s">
        <v>283</v>
      </c>
    </row>
    <row r="88" spans="1:19" x14ac:dyDescent="0.25">
      <c r="A88" s="5">
        <v>83</v>
      </c>
      <c r="B88" s="5" t="s">
        <v>58</v>
      </c>
      <c r="C88" s="5" t="s">
        <v>350</v>
      </c>
      <c r="D88" s="5" t="s">
        <v>351</v>
      </c>
      <c r="E88" s="5" t="s">
        <v>61</v>
      </c>
      <c r="F88" s="5" t="s">
        <v>299</v>
      </c>
      <c r="G88" s="5" t="s">
        <v>34</v>
      </c>
      <c r="H88" s="5" t="s">
        <v>63</v>
      </c>
      <c r="I88" s="5" t="s">
        <v>24</v>
      </c>
      <c r="J88" s="5" t="s">
        <v>120</v>
      </c>
      <c r="K88" s="5" t="s">
        <v>121</v>
      </c>
      <c r="L88" s="5" t="s">
        <v>122</v>
      </c>
      <c r="M88" s="5">
        <v>4.5</v>
      </c>
      <c r="N88" s="5" t="s">
        <v>344</v>
      </c>
      <c r="O88" s="5" t="s">
        <v>72</v>
      </c>
      <c r="P88" s="5" t="s">
        <v>95</v>
      </c>
      <c r="Q88" s="5" t="s">
        <v>74</v>
      </c>
      <c r="R88" s="5" t="s">
        <v>75</v>
      </c>
      <c r="S88" s="5" t="s">
        <v>145</v>
      </c>
    </row>
    <row r="89" spans="1:19" x14ac:dyDescent="0.25">
      <c r="A89" s="5">
        <v>84</v>
      </c>
      <c r="B89" s="5" t="s">
        <v>58</v>
      </c>
      <c r="C89" s="5" t="s">
        <v>352</v>
      </c>
      <c r="D89" s="5" t="s">
        <v>353</v>
      </c>
      <c r="E89" s="5" t="s">
        <v>67</v>
      </c>
      <c r="F89" s="5" t="s">
        <v>299</v>
      </c>
      <c r="G89" s="5" t="s">
        <v>34</v>
      </c>
      <c r="H89" s="5" t="s">
        <v>63</v>
      </c>
      <c r="I89" s="5" t="s">
        <v>108</v>
      </c>
      <c r="J89" s="5" t="s">
        <v>64</v>
      </c>
      <c r="K89" s="5" t="s">
        <v>64</v>
      </c>
      <c r="L89" s="5" t="s">
        <v>64</v>
      </c>
      <c r="M89" s="5" t="s">
        <v>64</v>
      </c>
      <c r="N89" s="5" t="s">
        <v>64</v>
      </c>
      <c r="O89" s="5" t="s">
        <v>64</v>
      </c>
      <c r="P89" s="5" t="s">
        <v>64</v>
      </c>
      <c r="Q89" s="5" t="s">
        <v>64</v>
      </c>
      <c r="R89" s="5" t="s">
        <v>64</v>
      </c>
      <c r="S89" s="5" t="s">
        <v>64</v>
      </c>
    </row>
    <row r="90" spans="1:19" x14ac:dyDescent="0.25">
      <c r="A90" s="5">
        <v>85</v>
      </c>
      <c r="B90" s="5" t="s">
        <v>58</v>
      </c>
      <c r="C90" s="5" t="s">
        <v>354</v>
      </c>
      <c r="D90" s="5" t="s">
        <v>355</v>
      </c>
      <c r="E90" s="5" t="s">
        <v>67</v>
      </c>
      <c r="F90" s="5" t="s">
        <v>299</v>
      </c>
      <c r="G90" s="5" t="s">
        <v>34</v>
      </c>
      <c r="H90" s="5" t="s">
        <v>63</v>
      </c>
      <c r="I90" s="5" t="s">
        <v>26</v>
      </c>
      <c r="J90" s="5" t="s">
        <v>64</v>
      </c>
      <c r="K90" s="5" t="s">
        <v>64</v>
      </c>
      <c r="L90" s="5" t="s">
        <v>64</v>
      </c>
      <c r="M90" s="5" t="s">
        <v>64</v>
      </c>
      <c r="N90" s="5" t="s">
        <v>64</v>
      </c>
      <c r="O90" s="5" t="s">
        <v>64</v>
      </c>
      <c r="P90" s="5" t="s">
        <v>64</v>
      </c>
      <c r="Q90" s="5" t="s">
        <v>64</v>
      </c>
      <c r="R90" s="5" t="s">
        <v>64</v>
      </c>
      <c r="S90" s="5" t="s">
        <v>64</v>
      </c>
    </row>
    <row r="91" spans="1:19" x14ac:dyDescent="0.25">
      <c r="A91" s="5">
        <v>86</v>
      </c>
      <c r="B91" s="5" t="s">
        <v>58</v>
      </c>
      <c r="C91" s="5" t="s">
        <v>356</v>
      </c>
      <c r="D91" s="5" t="s">
        <v>357</v>
      </c>
      <c r="E91" s="5" t="s">
        <v>67</v>
      </c>
      <c r="F91" s="5" t="s">
        <v>299</v>
      </c>
      <c r="G91" s="5" t="s">
        <v>34</v>
      </c>
      <c r="H91" s="5" t="s">
        <v>63</v>
      </c>
      <c r="I91" s="5" t="s">
        <v>24</v>
      </c>
      <c r="J91" s="5" t="s">
        <v>99</v>
      </c>
      <c r="K91" s="5" t="s">
        <v>69</v>
      </c>
      <c r="L91" s="5" t="s">
        <v>100</v>
      </c>
      <c r="M91" s="5">
        <v>4.93</v>
      </c>
      <c r="N91" s="5" t="s">
        <v>358</v>
      </c>
      <c r="O91" s="5" t="s">
        <v>131</v>
      </c>
      <c r="P91" s="5" t="s">
        <v>155</v>
      </c>
      <c r="Q91" s="5" t="s">
        <v>74</v>
      </c>
      <c r="R91" s="5" t="s">
        <v>75</v>
      </c>
      <c r="S91" s="5" t="s">
        <v>133</v>
      </c>
    </row>
    <row r="92" spans="1:19" x14ac:dyDescent="0.25">
      <c r="A92" s="5">
        <v>87</v>
      </c>
      <c r="B92" s="5" t="s">
        <v>58</v>
      </c>
      <c r="C92" s="5" t="s">
        <v>359</v>
      </c>
      <c r="D92" s="5" t="s">
        <v>360</v>
      </c>
      <c r="E92" s="5" t="s">
        <v>67</v>
      </c>
      <c r="F92" s="5" t="s">
        <v>299</v>
      </c>
      <c r="G92" s="5" t="s">
        <v>34</v>
      </c>
      <c r="H92" s="5" t="s">
        <v>63</v>
      </c>
      <c r="I92" s="5" t="s">
        <v>24</v>
      </c>
      <c r="J92" s="5" t="s">
        <v>79</v>
      </c>
      <c r="K92" s="5" t="s">
        <v>69</v>
      </c>
      <c r="L92" s="5" t="s">
        <v>93</v>
      </c>
      <c r="M92" s="5">
        <v>4.13</v>
      </c>
      <c r="N92" s="5" t="s">
        <v>361</v>
      </c>
      <c r="O92" s="5" t="s">
        <v>81</v>
      </c>
      <c r="P92" s="5" t="s">
        <v>254</v>
      </c>
      <c r="Q92" s="5" t="s">
        <v>74</v>
      </c>
      <c r="R92" s="5" t="s">
        <v>75</v>
      </c>
      <c r="S92" s="5" t="s">
        <v>139</v>
      </c>
    </row>
    <row r="93" spans="1:19" x14ac:dyDescent="0.25">
      <c r="A93" s="5">
        <v>88</v>
      </c>
      <c r="B93" s="5" t="s">
        <v>58</v>
      </c>
      <c r="C93" s="5" t="s">
        <v>362</v>
      </c>
      <c r="D93" s="5" t="s">
        <v>363</v>
      </c>
      <c r="E93" s="5" t="s">
        <v>61</v>
      </c>
      <c r="F93" s="5" t="s">
        <v>299</v>
      </c>
      <c r="G93" s="5" t="s">
        <v>34</v>
      </c>
      <c r="H93" s="5" t="s">
        <v>63</v>
      </c>
      <c r="I93" s="5" t="s">
        <v>24</v>
      </c>
      <c r="J93" s="5" t="s">
        <v>231</v>
      </c>
      <c r="K93" s="5" t="s">
        <v>69</v>
      </c>
      <c r="L93" s="5" t="s">
        <v>93</v>
      </c>
      <c r="M93" s="5">
        <v>6.29</v>
      </c>
      <c r="N93" s="5" t="s">
        <v>349</v>
      </c>
      <c r="O93" s="5" t="s">
        <v>131</v>
      </c>
      <c r="P93" s="5" t="s">
        <v>172</v>
      </c>
      <c r="Q93" s="5" t="s">
        <v>74</v>
      </c>
      <c r="R93" s="5" t="s">
        <v>75</v>
      </c>
      <c r="S93" s="5" t="s">
        <v>207</v>
      </c>
    </row>
    <row r="94" spans="1:19" x14ac:dyDescent="0.25">
      <c r="A94" s="5">
        <v>89</v>
      </c>
      <c r="B94" s="5" t="s">
        <v>58</v>
      </c>
      <c r="C94" s="5" t="s">
        <v>364</v>
      </c>
      <c r="D94" s="5" t="s">
        <v>355</v>
      </c>
      <c r="E94" s="5" t="s">
        <v>67</v>
      </c>
      <c r="F94" s="5" t="s">
        <v>299</v>
      </c>
      <c r="G94" s="5" t="s">
        <v>34</v>
      </c>
      <c r="H94" s="5" t="s">
        <v>63</v>
      </c>
      <c r="I94" s="5" t="s">
        <v>24</v>
      </c>
      <c r="J94" s="5" t="s">
        <v>276</v>
      </c>
      <c r="K94" s="5" t="s">
        <v>277</v>
      </c>
      <c r="L94" s="5" t="s">
        <v>70</v>
      </c>
      <c r="M94" s="5">
        <v>5.34</v>
      </c>
      <c r="N94" s="5" t="s">
        <v>314</v>
      </c>
      <c r="O94" s="5" t="s">
        <v>72</v>
      </c>
      <c r="P94" s="5" t="s">
        <v>224</v>
      </c>
      <c r="Q94" s="5" t="s">
        <v>74</v>
      </c>
      <c r="R94" s="5" t="s">
        <v>75</v>
      </c>
      <c r="S94" s="5" t="s">
        <v>156</v>
      </c>
    </row>
    <row r="95" spans="1:19" x14ac:dyDescent="0.25">
      <c r="A95" s="5">
        <v>90</v>
      </c>
      <c r="B95" s="5" t="s">
        <v>58</v>
      </c>
      <c r="C95" s="5" t="s">
        <v>365</v>
      </c>
      <c r="D95" s="5" t="s">
        <v>366</v>
      </c>
      <c r="E95" s="5" t="s">
        <v>67</v>
      </c>
      <c r="F95" s="5" t="s">
        <v>299</v>
      </c>
      <c r="G95" s="5" t="s">
        <v>34</v>
      </c>
      <c r="H95" s="5" t="s">
        <v>63</v>
      </c>
      <c r="I95" s="5" t="s">
        <v>105</v>
      </c>
      <c r="J95" s="5" t="s">
        <v>64</v>
      </c>
      <c r="K95" s="5" t="s">
        <v>64</v>
      </c>
      <c r="L95" s="5" t="s">
        <v>64</v>
      </c>
      <c r="M95" s="5" t="s">
        <v>64</v>
      </c>
      <c r="N95" s="5" t="s">
        <v>64</v>
      </c>
      <c r="O95" s="5" t="s">
        <v>64</v>
      </c>
      <c r="P95" s="5" t="s">
        <v>64</v>
      </c>
      <c r="Q95" s="5" t="s">
        <v>64</v>
      </c>
      <c r="R95" s="5" t="s">
        <v>64</v>
      </c>
      <c r="S95" s="5" t="s">
        <v>64</v>
      </c>
    </row>
    <row r="96" spans="1:19" x14ac:dyDescent="0.25">
      <c r="A96" s="5">
        <v>91</v>
      </c>
      <c r="B96" s="5" t="s">
        <v>58</v>
      </c>
      <c r="C96" s="5" t="s">
        <v>367</v>
      </c>
      <c r="D96" s="5" t="s">
        <v>368</v>
      </c>
      <c r="E96" s="5" t="s">
        <v>67</v>
      </c>
      <c r="F96" s="5" t="s">
        <v>299</v>
      </c>
      <c r="G96" s="5" t="s">
        <v>34</v>
      </c>
      <c r="H96" s="5" t="s">
        <v>63</v>
      </c>
      <c r="I96" s="5" t="s">
        <v>108</v>
      </c>
      <c r="J96" s="5" t="s">
        <v>64</v>
      </c>
      <c r="K96" s="5" t="s">
        <v>64</v>
      </c>
      <c r="L96" s="5" t="s">
        <v>64</v>
      </c>
      <c r="M96" s="5" t="s">
        <v>64</v>
      </c>
      <c r="N96" s="5" t="s">
        <v>64</v>
      </c>
      <c r="O96" s="5" t="s">
        <v>64</v>
      </c>
      <c r="P96" s="5" t="s">
        <v>64</v>
      </c>
      <c r="Q96" s="5" t="s">
        <v>64</v>
      </c>
      <c r="R96" s="5" t="s">
        <v>64</v>
      </c>
      <c r="S96" s="5" t="s">
        <v>64</v>
      </c>
    </row>
    <row r="97" spans="1:19" x14ac:dyDescent="0.25">
      <c r="A97" s="5">
        <v>92</v>
      </c>
      <c r="B97" s="5" t="s">
        <v>58</v>
      </c>
      <c r="C97" s="5" t="s">
        <v>369</v>
      </c>
      <c r="D97" s="5" t="s">
        <v>185</v>
      </c>
      <c r="E97" s="5" t="s">
        <v>67</v>
      </c>
      <c r="F97" s="5" t="s">
        <v>299</v>
      </c>
      <c r="G97" s="5" t="s">
        <v>34</v>
      </c>
      <c r="H97" s="5" t="s">
        <v>63</v>
      </c>
      <c r="I97" s="5" t="s">
        <v>24</v>
      </c>
      <c r="J97" s="5" t="s">
        <v>115</v>
      </c>
      <c r="K97" s="5" t="s">
        <v>69</v>
      </c>
      <c r="L97" s="5" t="s">
        <v>93</v>
      </c>
      <c r="M97" s="5">
        <v>7.97</v>
      </c>
      <c r="N97" s="5" t="s">
        <v>370</v>
      </c>
      <c r="O97" s="5" t="s">
        <v>72</v>
      </c>
      <c r="P97" s="5" t="s">
        <v>116</v>
      </c>
      <c r="Q97" s="5" t="s">
        <v>74</v>
      </c>
      <c r="R97" s="5" t="s">
        <v>75</v>
      </c>
      <c r="S97" s="5" t="s">
        <v>76</v>
      </c>
    </row>
    <row r="98" spans="1:19" x14ac:dyDescent="0.25">
      <c r="A98" s="5">
        <v>93</v>
      </c>
      <c r="B98" s="5" t="s">
        <v>58</v>
      </c>
      <c r="C98" s="5" t="s">
        <v>371</v>
      </c>
      <c r="D98" s="5" t="s">
        <v>343</v>
      </c>
      <c r="E98" s="5" t="s">
        <v>67</v>
      </c>
      <c r="F98" s="5" t="s">
        <v>299</v>
      </c>
      <c r="G98" s="5" t="s">
        <v>34</v>
      </c>
      <c r="H98" s="5" t="s">
        <v>63</v>
      </c>
      <c r="I98" s="5" t="s">
        <v>24</v>
      </c>
      <c r="J98" s="5" t="s">
        <v>120</v>
      </c>
      <c r="K98" s="5" t="s">
        <v>121</v>
      </c>
      <c r="L98" s="5" t="s">
        <v>122</v>
      </c>
      <c r="M98" s="5">
        <v>5.37</v>
      </c>
      <c r="N98" s="5" t="s">
        <v>232</v>
      </c>
      <c r="O98" s="5" t="s">
        <v>72</v>
      </c>
      <c r="P98" s="5" t="s">
        <v>150</v>
      </c>
      <c r="Q98" s="5" t="s">
        <v>74</v>
      </c>
      <c r="R98" s="5" t="s">
        <v>75</v>
      </c>
      <c r="S98" s="5" t="s">
        <v>271</v>
      </c>
    </row>
    <row r="99" spans="1:19" x14ac:dyDescent="0.25">
      <c r="A99" s="5">
        <v>94</v>
      </c>
      <c r="B99" s="5" t="s">
        <v>58</v>
      </c>
      <c r="C99" s="5" t="s">
        <v>372</v>
      </c>
      <c r="D99" s="5" t="s">
        <v>373</v>
      </c>
      <c r="E99" s="5" t="s">
        <v>67</v>
      </c>
      <c r="F99" s="5" t="s">
        <v>299</v>
      </c>
      <c r="G99" s="5" t="s">
        <v>34</v>
      </c>
      <c r="H99" s="5" t="s">
        <v>63</v>
      </c>
      <c r="I99" s="5" t="s">
        <v>24</v>
      </c>
      <c r="J99" s="5" t="s">
        <v>175</v>
      </c>
      <c r="K99" s="5" t="s">
        <v>69</v>
      </c>
      <c r="L99" s="5" t="s">
        <v>142</v>
      </c>
      <c r="M99" s="5">
        <v>4.87</v>
      </c>
      <c r="N99" s="5" t="s">
        <v>374</v>
      </c>
      <c r="O99" s="5" t="s">
        <v>72</v>
      </c>
      <c r="P99" s="5" t="s">
        <v>132</v>
      </c>
      <c r="Q99" s="5" t="s">
        <v>74</v>
      </c>
      <c r="R99" s="5" t="s">
        <v>75</v>
      </c>
      <c r="S99" s="5" t="s">
        <v>83</v>
      </c>
    </row>
    <row r="100" spans="1:19" x14ac:dyDescent="0.25">
      <c r="A100" s="5">
        <v>95</v>
      </c>
      <c r="B100" s="5" t="s">
        <v>58</v>
      </c>
      <c r="C100" s="5" t="s">
        <v>375</v>
      </c>
      <c r="D100" s="5" t="s">
        <v>339</v>
      </c>
      <c r="E100" s="5" t="s">
        <v>61</v>
      </c>
      <c r="F100" s="5" t="s">
        <v>376</v>
      </c>
      <c r="G100" s="5" t="s">
        <v>35</v>
      </c>
      <c r="H100" s="5" t="s">
        <v>63</v>
      </c>
      <c r="I100" s="5" t="s">
        <v>26</v>
      </c>
      <c r="J100" s="5" t="s">
        <v>64</v>
      </c>
      <c r="K100" s="5" t="s">
        <v>64</v>
      </c>
      <c r="L100" s="5" t="s">
        <v>64</v>
      </c>
      <c r="M100" s="5" t="s">
        <v>64</v>
      </c>
      <c r="N100" s="5" t="s">
        <v>64</v>
      </c>
      <c r="O100" s="5" t="s">
        <v>64</v>
      </c>
      <c r="P100" s="5" t="s">
        <v>64</v>
      </c>
      <c r="Q100" s="5" t="s">
        <v>64</v>
      </c>
      <c r="R100" s="5" t="s">
        <v>64</v>
      </c>
      <c r="S100" s="5" t="s">
        <v>64</v>
      </c>
    </row>
    <row r="101" spans="1:19" x14ac:dyDescent="0.25">
      <c r="A101" s="5">
        <v>96</v>
      </c>
      <c r="B101" s="5" t="s">
        <v>58</v>
      </c>
      <c r="C101" s="5" t="s">
        <v>377</v>
      </c>
      <c r="D101" s="5" t="s">
        <v>378</v>
      </c>
      <c r="E101" s="5" t="s">
        <v>61</v>
      </c>
      <c r="F101" s="5" t="s">
        <v>376</v>
      </c>
      <c r="G101" s="5" t="s">
        <v>35</v>
      </c>
      <c r="H101" s="5" t="s">
        <v>63</v>
      </c>
      <c r="I101" s="5" t="s">
        <v>108</v>
      </c>
      <c r="J101" s="5" t="s">
        <v>64</v>
      </c>
      <c r="K101" s="5" t="s">
        <v>64</v>
      </c>
      <c r="L101" s="5" t="s">
        <v>64</v>
      </c>
      <c r="M101" s="5" t="s">
        <v>64</v>
      </c>
      <c r="N101" s="5" t="s">
        <v>64</v>
      </c>
      <c r="O101" s="5" t="s">
        <v>64</v>
      </c>
      <c r="P101" s="5" t="s">
        <v>64</v>
      </c>
      <c r="Q101" s="5" t="s">
        <v>64</v>
      </c>
      <c r="R101" s="5" t="s">
        <v>64</v>
      </c>
      <c r="S101" s="5" t="s">
        <v>64</v>
      </c>
    </row>
    <row r="102" spans="1:19" x14ac:dyDescent="0.25">
      <c r="A102" s="5">
        <v>97</v>
      </c>
      <c r="B102" s="5" t="s">
        <v>58</v>
      </c>
      <c r="C102" s="5" t="s">
        <v>379</v>
      </c>
      <c r="D102" s="5" t="s">
        <v>380</v>
      </c>
      <c r="E102" s="5" t="s">
        <v>61</v>
      </c>
      <c r="F102" s="5" t="s">
        <v>376</v>
      </c>
      <c r="G102" s="5" t="s">
        <v>35</v>
      </c>
      <c r="H102" s="5" t="s">
        <v>63</v>
      </c>
      <c r="I102" s="5" t="s">
        <v>24</v>
      </c>
      <c r="J102" s="5" t="s">
        <v>148</v>
      </c>
      <c r="K102" s="5" t="s">
        <v>69</v>
      </c>
      <c r="L102" s="5" t="s">
        <v>100</v>
      </c>
      <c r="M102" s="5">
        <v>3.66</v>
      </c>
      <c r="N102" s="5" t="s">
        <v>333</v>
      </c>
      <c r="O102" s="5" t="s">
        <v>81</v>
      </c>
      <c r="P102" s="5" t="s">
        <v>381</v>
      </c>
      <c r="Q102" s="5" t="s">
        <v>74</v>
      </c>
      <c r="R102" s="5" t="s">
        <v>75</v>
      </c>
      <c r="S102" s="5" t="s">
        <v>271</v>
      </c>
    </row>
    <row r="103" spans="1:19" x14ac:dyDescent="0.25">
      <c r="A103" s="5">
        <v>98</v>
      </c>
      <c r="B103" s="5" t="s">
        <v>58</v>
      </c>
      <c r="C103" s="5" t="s">
        <v>382</v>
      </c>
      <c r="D103" s="5" t="s">
        <v>174</v>
      </c>
      <c r="E103" s="5" t="s">
        <v>67</v>
      </c>
      <c r="F103" s="5" t="s">
        <v>376</v>
      </c>
      <c r="G103" s="5" t="s">
        <v>35</v>
      </c>
      <c r="H103" s="5" t="s">
        <v>63</v>
      </c>
      <c r="I103" s="5" t="s">
        <v>24</v>
      </c>
      <c r="J103" s="5" t="s">
        <v>79</v>
      </c>
      <c r="K103" s="5" t="s">
        <v>69</v>
      </c>
      <c r="L103" s="5" t="s">
        <v>70</v>
      </c>
      <c r="M103" s="5">
        <v>3.5</v>
      </c>
      <c r="N103" s="5" t="s">
        <v>383</v>
      </c>
      <c r="O103" s="5" t="s">
        <v>72</v>
      </c>
      <c r="P103" s="5" t="s">
        <v>384</v>
      </c>
      <c r="Q103" s="5" t="s">
        <v>74</v>
      </c>
      <c r="R103" s="5" t="s">
        <v>75</v>
      </c>
      <c r="S103" s="5" t="s">
        <v>117</v>
      </c>
    </row>
    <row r="104" spans="1:19" x14ac:dyDescent="0.25">
      <c r="A104" s="5">
        <v>99</v>
      </c>
      <c r="B104" s="5" t="s">
        <v>58</v>
      </c>
      <c r="C104" s="5" t="s">
        <v>385</v>
      </c>
      <c r="D104" s="5" t="s">
        <v>386</v>
      </c>
      <c r="E104" s="5" t="s">
        <v>61</v>
      </c>
      <c r="F104" s="5" t="s">
        <v>376</v>
      </c>
      <c r="G104" s="5" t="s">
        <v>35</v>
      </c>
      <c r="H104" s="5" t="s">
        <v>63</v>
      </c>
      <c r="I104" s="5" t="s">
        <v>24</v>
      </c>
      <c r="J104" s="5" t="s">
        <v>99</v>
      </c>
      <c r="K104" s="5" t="s">
        <v>69</v>
      </c>
      <c r="L104" s="5" t="s">
        <v>142</v>
      </c>
      <c r="M104" s="5">
        <v>4.19</v>
      </c>
      <c r="N104" s="5" t="s">
        <v>387</v>
      </c>
      <c r="O104" s="5" t="s">
        <v>72</v>
      </c>
      <c r="P104" s="5" t="s">
        <v>381</v>
      </c>
      <c r="Q104" s="5" t="s">
        <v>74</v>
      </c>
      <c r="R104" s="5" t="s">
        <v>75</v>
      </c>
      <c r="S104" s="5" t="s">
        <v>151</v>
      </c>
    </row>
    <row r="105" spans="1:19" x14ac:dyDescent="0.25">
      <c r="A105" s="5">
        <v>100</v>
      </c>
      <c r="B105" s="5" t="s">
        <v>58</v>
      </c>
      <c r="C105" s="5" t="s">
        <v>388</v>
      </c>
      <c r="D105" s="5" t="s">
        <v>389</v>
      </c>
      <c r="E105" s="5" t="s">
        <v>61</v>
      </c>
      <c r="F105" s="5" t="s">
        <v>376</v>
      </c>
      <c r="G105" s="5" t="s">
        <v>35</v>
      </c>
      <c r="H105" s="5" t="s">
        <v>63</v>
      </c>
      <c r="I105" s="5" t="s">
        <v>24</v>
      </c>
      <c r="J105" s="5" t="s">
        <v>231</v>
      </c>
      <c r="K105" s="5" t="s">
        <v>69</v>
      </c>
      <c r="L105" s="5" t="s">
        <v>93</v>
      </c>
      <c r="M105" s="5">
        <v>6.72</v>
      </c>
      <c r="N105" s="5" t="s">
        <v>390</v>
      </c>
      <c r="O105" s="5" t="s">
        <v>131</v>
      </c>
      <c r="P105" s="5" t="s">
        <v>384</v>
      </c>
      <c r="Q105" s="5" t="s">
        <v>74</v>
      </c>
      <c r="R105" s="5" t="s">
        <v>75</v>
      </c>
      <c r="S105" s="5" t="s">
        <v>183</v>
      </c>
    </row>
    <row r="106" spans="1:19" x14ac:dyDescent="0.25">
      <c r="A106" s="5">
        <v>101</v>
      </c>
      <c r="B106" s="5" t="s">
        <v>58</v>
      </c>
      <c r="C106" s="5" t="s">
        <v>391</v>
      </c>
      <c r="D106" s="5" t="s">
        <v>246</v>
      </c>
      <c r="E106" s="5" t="s">
        <v>61</v>
      </c>
      <c r="F106" s="5" t="s">
        <v>376</v>
      </c>
      <c r="G106" s="5" t="s">
        <v>35</v>
      </c>
      <c r="H106" s="5" t="s">
        <v>63</v>
      </c>
      <c r="I106" s="5" t="s">
        <v>24</v>
      </c>
      <c r="J106" s="5" t="s">
        <v>68</v>
      </c>
      <c r="K106" s="5" t="s">
        <v>69</v>
      </c>
      <c r="L106" s="5" t="s">
        <v>142</v>
      </c>
      <c r="M106" s="5">
        <v>6</v>
      </c>
      <c r="N106" s="5" t="s">
        <v>392</v>
      </c>
      <c r="O106" s="5" t="s">
        <v>72</v>
      </c>
      <c r="P106" s="5" t="s">
        <v>393</v>
      </c>
      <c r="Q106" s="5" t="s">
        <v>74</v>
      </c>
      <c r="R106" s="5" t="s">
        <v>75</v>
      </c>
      <c r="S106" s="5" t="s">
        <v>302</v>
      </c>
    </row>
    <row r="107" spans="1:19" x14ac:dyDescent="0.25">
      <c r="A107" s="5">
        <v>102</v>
      </c>
      <c r="B107" s="5" t="s">
        <v>58</v>
      </c>
      <c r="C107" s="5" t="s">
        <v>394</v>
      </c>
      <c r="D107" s="5" t="s">
        <v>395</v>
      </c>
      <c r="E107" s="5" t="s">
        <v>61</v>
      </c>
      <c r="F107" s="5" t="s">
        <v>376</v>
      </c>
      <c r="G107" s="5" t="s">
        <v>35</v>
      </c>
      <c r="H107" s="5" t="s">
        <v>63</v>
      </c>
      <c r="I107" s="5" t="s">
        <v>24</v>
      </c>
      <c r="J107" s="5" t="s">
        <v>276</v>
      </c>
      <c r="K107" s="5" t="s">
        <v>277</v>
      </c>
      <c r="L107" s="5" t="s">
        <v>142</v>
      </c>
      <c r="M107" s="5">
        <v>5.03</v>
      </c>
      <c r="N107" s="5" t="s">
        <v>396</v>
      </c>
      <c r="O107" s="5" t="s">
        <v>81</v>
      </c>
      <c r="P107" s="5" t="s">
        <v>224</v>
      </c>
      <c r="Q107" s="5" t="s">
        <v>74</v>
      </c>
      <c r="R107" s="5" t="s">
        <v>75</v>
      </c>
      <c r="S107" s="5" t="s">
        <v>183</v>
      </c>
    </row>
    <row r="108" spans="1:19" x14ac:dyDescent="0.25">
      <c r="A108" s="5">
        <v>103</v>
      </c>
      <c r="B108" s="5" t="s">
        <v>58</v>
      </c>
      <c r="C108" s="5" t="s">
        <v>397</v>
      </c>
      <c r="D108" s="5" t="s">
        <v>398</v>
      </c>
      <c r="E108" s="5" t="s">
        <v>61</v>
      </c>
      <c r="F108" s="5" t="s">
        <v>376</v>
      </c>
      <c r="G108" s="5" t="s">
        <v>35</v>
      </c>
      <c r="H108" s="5" t="s">
        <v>63</v>
      </c>
      <c r="I108" s="5" t="s">
        <v>26</v>
      </c>
      <c r="J108" s="5" t="s">
        <v>64</v>
      </c>
      <c r="K108" s="5" t="s">
        <v>64</v>
      </c>
      <c r="L108" s="5" t="s">
        <v>64</v>
      </c>
      <c r="M108" s="5" t="s">
        <v>64</v>
      </c>
      <c r="N108" s="5" t="s">
        <v>64</v>
      </c>
      <c r="O108" s="5" t="s">
        <v>64</v>
      </c>
      <c r="P108" s="5" t="s">
        <v>64</v>
      </c>
      <c r="Q108" s="5" t="s">
        <v>64</v>
      </c>
      <c r="R108" s="5" t="s">
        <v>64</v>
      </c>
      <c r="S108" s="5" t="s">
        <v>64</v>
      </c>
    </row>
    <row r="109" spans="1:19" x14ac:dyDescent="0.25">
      <c r="A109" s="5">
        <v>104</v>
      </c>
      <c r="B109" s="5" t="s">
        <v>58</v>
      </c>
      <c r="C109" s="5" t="s">
        <v>399</v>
      </c>
      <c r="D109" s="5" t="s">
        <v>336</v>
      </c>
      <c r="E109" s="5" t="s">
        <v>67</v>
      </c>
      <c r="F109" s="5" t="s">
        <v>376</v>
      </c>
      <c r="G109" s="5" t="s">
        <v>35</v>
      </c>
      <c r="H109" s="5" t="s">
        <v>63</v>
      </c>
      <c r="I109" s="5" t="s">
        <v>24</v>
      </c>
      <c r="J109" s="5" t="s">
        <v>115</v>
      </c>
      <c r="K109" s="5" t="s">
        <v>69</v>
      </c>
      <c r="L109" s="5" t="s">
        <v>129</v>
      </c>
      <c r="M109" s="5">
        <v>6.66</v>
      </c>
      <c r="N109" s="5" t="s">
        <v>400</v>
      </c>
      <c r="O109" s="5" t="s">
        <v>72</v>
      </c>
      <c r="P109" s="5" t="s">
        <v>116</v>
      </c>
      <c r="Q109" s="5" t="s">
        <v>64</v>
      </c>
      <c r="R109" s="5" t="s">
        <v>75</v>
      </c>
      <c r="S109" s="5" t="s">
        <v>207</v>
      </c>
    </row>
    <row r="110" spans="1:19" x14ac:dyDescent="0.25">
      <c r="A110" s="5">
        <v>105</v>
      </c>
      <c r="B110" s="5" t="s">
        <v>58</v>
      </c>
      <c r="C110" s="5" t="s">
        <v>401</v>
      </c>
      <c r="D110" s="5" t="s">
        <v>402</v>
      </c>
      <c r="E110" s="5" t="s">
        <v>67</v>
      </c>
      <c r="F110" s="5" t="s">
        <v>376</v>
      </c>
      <c r="G110" s="5" t="s">
        <v>35</v>
      </c>
      <c r="H110" s="5" t="s">
        <v>63</v>
      </c>
      <c r="I110" s="5" t="s">
        <v>24</v>
      </c>
      <c r="J110" s="5" t="s">
        <v>120</v>
      </c>
      <c r="K110" s="5" t="s">
        <v>121</v>
      </c>
      <c r="L110" s="5" t="s">
        <v>100</v>
      </c>
      <c r="M110" s="5">
        <v>3.94</v>
      </c>
      <c r="N110" s="5" t="s">
        <v>403</v>
      </c>
      <c r="O110" s="5" t="s">
        <v>81</v>
      </c>
      <c r="P110" s="5" t="s">
        <v>279</v>
      </c>
      <c r="Q110" s="5" t="s">
        <v>74</v>
      </c>
      <c r="R110" s="5" t="s">
        <v>75</v>
      </c>
      <c r="S110" s="5" t="s">
        <v>183</v>
      </c>
    </row>
    <row r="111" spans="1:19" x14ac:dyDescent="0.25">
      <c r="A111" s="5">
        <v>106</v>
      </c>
      <c r="B111" s="5" t="s">
        <v>58</v>
      </c>
      <c r="C111" s="5" t="s">
        <v>404</v>
      </c>
      <c r="D111" s="5" t="s">
        <v>405</v>
      </c>
      <c r="E111" s="5" t="s">
        <v>61</v>
      </c>
      <c r="F111" s="5" t="s">
        <v>376</v>
      </c>
      <c r="G111" s="5" t="s">
        <v>35</v>
      </c>
      <c r="H111" s="5" t="s">
        <v>63</v>
      </c>
      <c r="I111" s="5" t="s">
        <v>108</v>
      </c>
      <c r="J111" s="5" t="s">
        <v>64</v>
      </c>
      <c r="K111" s="5" t="s">
        <v>64</v>
      </c>
      <c r="L111" s="5" t="s">
        <v>64</v>
      </c>
      <c r="M111" s="5" t="s">
        <v>64</v>
      </c>
      <c r="N111" s="5" t="s">
        <v>64</v>
      </c>
      <c r="O111" s="5" t="s">
        <v>64</v>
      </c>
      <c r="P111" s="5" t="s">
        <v>64</v>
      </c>
      <c r="Q111" s="5" t="s">
        <v>64</v>
      </c>
      <c r="R111" s="5" t="s">
        <v>64</v>
      </c>
      <c r="S111" s="5" t="s">
        <v>64</v>
      </c>
    </row>
    <row r="112" spans="1:19" x14ac:dyDescent="0.25">
      <c r="A112" s="5">
        <v>107</v>
      </c>
      <c r="B112" s="5" t="s">
        <v>58</v>
      </c>
      <c r="C112" s="5" t="s">
        <v>406</v>
      </c>
      <c r="D112" s="5" t="s">
        <v>407</v>
      </c>
      <c r="E112" s="5" t="s">
        <v>67</v>
      </c>
      <c r="F112" s="5" t="s">
        <v>376</v>
      </c>
      <c r="G112" s="5" t="s">
        <v>35</v>
      </c>
      <c r="H112" s="5" t="s">
        <v>63</v>
      </c>
      <c r="I112" s="5" t="s">
        <v>24</v>
      </c>
      <c r="J112" s="5" t="s">
        <v>99</v>
      </c>
      <c r="K112" s="5" t="s">
        <v>69</v>
      </c>
      <c r="L112" s="5" t="s">
        <v>142</v>
      </c>
      <c r="M112" s="5">
        <v>4.24</v>
      </c>
      <c r="N112" s="5" t="s">
        <v>408</v>
      </c>
      <c r="O112" s="5" t="s">
        <v>72</v>
      </c>
      <c r="P112" s="5" t="s">
        <v>89</v>
      </c>
      <c r="Q112" s="5" t="s">
        <v>74</v>
      </c>
      <c r="R112" s="5" t="s">
        <v>75</v>
      </c>
      <c r="S112" s="5" t="s">
        <v>117</v>
      </c>
    </row>
    <row r="113" spans="1:19" x14ac:dyDescent="0.25">
      <c r="A113" s="5">
        <v>108</v>
      </c>
      <c r="B113" s="5" t="s">
        <v>58</v>
      </c>
      <c r="C113" s="5" t="s">
        <v>409</v>
      </c>
      <c r="D113" s="5" t="s">
        <v>410</v>
      </c>
      <c r="E113" s="5" t="s">
        <v>61</v>
      </c>
      <c r="F113" s="5" t="s">
        <v>376</v>
      </c>
      <c r="G113" s="5" t="s">
        <v>35</v>
      </c>
      <c r="H113" s="5" t="s">
        <v>63</v>
      </c>
      <c r="I113" s="5" t="s">
        <v>24</v>
      </c>
      <c r="J113" s="5" t="s">
        <v>68</v>
      </c>
      <c r="K113" s="5" t="s">
        <v>69</v>
      </c>
      <c r="L113" s="5" t="s">
        <v>100</v>
      </c>
      <c r="M113" s="5">
        <v>5.21</v>
      </c>
      <c r="N113" s="5" t="s">
        <v>411</v>
      </c>
      <c r="O113" s="5" t="s">
        <v>72</v>
      </c>
      <c r="P113" s="5" t="s">
        <v>254</v>
      </c>
      <c r="Q113" s="5" t="s">
        <v>74</v>
      </c>
      <c r="R113" s="5" t="s">
        <v>75</v>
      </c>
      <c r="S113" s="5" t="s">
        <v>412</v>
      </c>
    </row>
    <row r="114" spans="1:19" x14ac:dyDescent="0.25">
      <c r="A114" s="5">
        <v>109</v>
      </c>
      <c r="B114" s="5" t="s">
        <v>58</v>
      </c>
      <c r="C114" s="5" t="s">
        <v>413</v>
      </c>
      <c r="D114" s="5" t="s">
        <v>320</v>
      </c>
      <c r="E114" s="5" t="s">
        <v>61</v>
      </c>
      <c r="F114" s="5" t="s">
        <v>376</v>
      </c>
      <c r="G114" s="5" t="s">
        <v>35</v>
      </c>
      <c r="H114" s="5" t="s">
        <v>63</v>
      </c>
      <c r="I114" s="5" t="s">
        <v>108</v>
      </c>
      <c r="J114" s="5" t="s">
        <v>64</v>
      </c>
      <c r="K114" s="5" t="s">
        <v>64</v>
      </c>
      <c r="L114" s="5" t="s">
        <v>64</v>
      </c>
      <c r="M114" s="5" t="s">
        <v>64</v>
      </c>
      <c r="N114" s="5" t="s">
        <v>64</v>
      </c>
      <c r="O114" s="5" t="s">
        <v>64</v>
      </c>
      <c r="P114" s="5" t="s">
        <v>64</v>
      </c>
      <c r="Q114" s="5" t="s">
        <v>64</v>
      </c>
      <c r="R114" s="5" t="s">
        <v>64</v>
      </c>
      <c r="S114" s="5" t="s">
        <v>64</v>
      </c>
    </row>
    <row r="115" spans="1:19" x14ac:dyDescent="0.25">
      <c r="A115" s="5">
        <v>110</v>
      </c>
      <c r="B115" s="5" t="s">
        <v>58</v>
      </c>
      <c r="C115" s="5" t="s">
        <v>414</v>
      </c>
      <c r="D115" s="5" t="s">
        <v>380</v>
      </c>
      <c r="E115" s="5" t="s">
        <v>67</v>
      </c>
      <c r="F115" s="5" t="s">
        <v>376</v>
      </c>
      <c r="G115" s="5" t="s">
        <v>35</v>
      </c>
      <c r="H115" s="5" t="s">
        <v>63</v>
      </c>
      <c r="I115" s="5" t="s">
        <v>24</v>
      </c>
      <c r="J115" s="5" t="s">
        <v>128</v>
      </c>
      <c r="K115" s="5" t="s">
        <v>121</v>
      </c>
      <c r="L115" s="5" t="s">
        <v>122</v>
      </c>
      <c r="M115" s="5">
        <v>3.92</v>
      </c>
      <c r="N115" s="5" t="s">
        <v>415</v>
      </c>
      <c r="O115" s="5" t="s">
        <v>81</v>
      </c>
      <c r="P115" s="5" t="s">
        <v>172</v>
      </c>
      <c r="Q115" s="5" t="s">
        <v>74</v>
      </c>
      <c r="R115" s="5" t="s">
        <v>75</v>
      </c>
      <c r="S115" s="5" t="s">
        <v>337</v>
      </c>
    </row>
    <row r="116" spans="1:19" x14ac:dyDescent="0.25">
      <c r="A116" s="5">
        <v>111</v>
      </c>
      <c r="B116" s="5" t="s">
        <v>58</v>
      </c>
      <c r="C116" s="5" t="s">
        <v>416</v>
      </c>
      <c r="D116" s="5" t="s">
        <v>417</v>
      </c>
      <c r="E116" s="5" t="s">
        <v>67</v>
      </c>
      <c r="F116" s="5" t="s">
        <v>376</v>
      </c>
      <c r="G116" s="5" t="s">
        <v>35</v>
      </c>
      <c r="H116" s="5" t="s">
        <v>63</v>
      </c>
      <c r="I116" s="5" t="s">
        <v>24</v>
      </c>
      <c r="J116" s="5" t="s">
        <v>115</v>
      </c>
      <c r="K116" s="5" t="s">
        <v>69</v>
      </c>
      <c r="L116" s="5" t="s">
        <v>129</v>
      </c>
      <c r="M116" s="5">
        <v>7.29</v>
      </c>
      <c r="N116" s="5" t="s">
        <v>238</v>
      </c>
      <c r="O116" s="5" t="s">
        <v>81</v>
      </c>
      <c r="P116" s="5" t="s">
        <v>198</v>
      </c>
      <c r="Q116" s="5" t="s">
        <v>74</v>
      </c>
      <c r="R116" s="5" t="s">
        <v>75</v>
      </c>
      <c r="S116" s="5" t="s">
        <v>125</v>
      </c>
    </row>
    <row r="117" spans="1:19" x14ac:dyDescent="0.25">
      <c r="A117" s="5">
        <v>112</v>
      </c>
      <c r="B117" s="5" t="s">
        <v>58</v>
      </c>
      <c r="C117" s="5" t="s">
        <v>418</v>
      </c>
      <c r="D117" s="5" t="s">
        <v>419</v>
      </c>
      <c r="E117" s="5" t="s">
        <v>67</v>
      </c>
      <c r="F117" s="5" t="s">
        <v>376</v>
      </c>
      <c r="G117" s="5" t="s">
        <v>35</v>
      </c>
      <c r="H117" s="5" t="s">
        <v>63</v>
      </c>
      <c r="I117" s="5" t="s">
        <v>24</v>
      </c>
      <c r="J117" s="5" t="s">
        <v>99</v>
      </c>
      <c r="K117" s="5" t="s">
        <v>69</v>
      </c>
      <c r="L117" s="5" t="s">
        <v>122</v>
      </c>
      <c r="M117" s="5">
        <v>4.01</v>
      </c>
      <c r="N117" s="5" t="s">
        <v>420</v>
      </c>
      <c r="O117" s="5" t="s">
        <v>72</v>
      </c>
      <c r="P117" s="5" t="s">
        <v>334</v>
      </c>
      <c r="Q117" s="5" t="s">
        <v>64</v>
      </c>
      <c r="R117" s="5" t="s">
        <v>75</v>
      </c>
      <c r="S117" s="5" t="s">
        <v>306</v>
      </c>
    </row>
    <row r="118" spans="1:19" x14ac:dyDescent="0.25">
      <c r="A118" s="5">
        <v>113</v>
      </c>
      <c r="B118" s="5" t="s">
        <v>58</v>
      </c>
      <c r="C118" s="5" t="s">
        <v>421</v>
      </c>
      <c r="D118" s="5" t="s">
        <v>422</v>
      </c>
      <c r="E118" s="5" t="s">
        <v>67</v>
      </c>
      <c r="F118" s="5" t="s">
        <v>376</v>
      </c>
      <c r="G118" s="5" t="s">
        <v>35</v>
      </c>
      <c r="H118" s="5" t="s">
        <v>63</v>
      </c>
      <c r="I118" s="5" t="s">
        <v>24</v>
      </c>
      <c r="J118" s="5" t="s">
        <v>128</v>
      </c>
      <c r="K118" s="5" t="s">
        <v>121</v>
      </c>
      <c r="L118" s="5" t="s">
        <v>129</v>
      </c>
      <c r="M118" s="5">
        <v>3.35</v>
      </c>
      <c r="N118" s="5" t="s">
        <v>349</v>
      </c>
      <c r="O118" s="5" t="s">
        <v>72</v>
      </c>
      <c r="P118" s="5" t="s">
        <v>188</v>
      </c>
      <c r="Q118" s="5" t="s">
        <v>74</v>
      </c>
      <c r="R118" s="5" t="s">
        <v>75</v>
      </c>
      <c r="S118" s="5" t="s">
        <v>271</v>
      </c>
    </row>
    <row r="119" spans="1:19" x14ac:dyDescent="0.25">
      <c r="A119" s="5">
        <v>114</v>
      </c>
      <c r="B119" s="5" t="s">
        <v>58</v>
      </c>
      <c r="C119" s="5" t="s">
        <v>423</v>
      </c>
      <c r="D119" s="5" t="s">
        <v>424</v>
      </c>
      <c r="E119" s="5" t="s">
        <v>61</v>
      </c>
      <c r="F119" s="5" t="s">
        <v>376</v>
      </c>
      <c r="G119" s="5" t="s">
        <v>35</v>
      </c>
      <c r="H119" s="5" t="s">
        <v>63</v>
      </c>
      <c r="I119" s="5" t="s">
        <v>105</v>
      </c>
      <c r="J119" s="5" t="s">
        <v>64</v>
      </c>
      <c r="K119" s="5" t="s">
        <v>64</v>
      </c>
      <c r="L119" s="5" t="s">
        <v>64</v>
      </c>
      <c r="M119" s="5" t="s">
        <v>64</v>
      </c>
      <c r="N119" s="5" t="s">
        <v>64</v>
      </c>
      <c r="O119" s="5" t="s">
        <v>64</v>
      </c>
      <c r="P119" s="5" t="s">
        <v>64</v>
      </c>
      <c r="Q119" s="5" t="s">
        <v>64</v>
      </c>
      <c r="R119" s="5" t="s">
        <v>64</v>
      </c>
      <c r="S119" s="5" t="s">
        <v>64</v>
      </c>
    </row>
    <row r="120" spans="1:19" x14ac:dyDescent="0.25">
      <c r="A120" s="5">
        <v>115</v>
      </c>
      <c r="B120" s="5" t="s">
        <v>58</v>
      </c>
      <c r="C120" s="5" t="s">
        <v>425</v>
      </c>
      <c r="D120" s="5" t="s">
        <v>226</v>
      </c>
      <c r="E120" s="5" t="s">
        <v>67</v>
      </c>
      <c r="F120" s="5" t="s">
        <v>376</v>
      </c>
      <c r="G120" s="5" t="s">
        <v>35</v>
      </c>
      <c r="H120" s="5" t="s">
        <v>63</v>
      </c>
      <c r="I120" s="5" t="s">
        <v>24</v>
      </c>
      <c r="J120" s="5" t="s">
        <v>115</v>
      </c>
      <c r="K120" s="5" t="s">
        <v>69</v>
      </c>
      <c r="L120" s="5" t="s">
        <v>129</v>
      </c>
      <c r="M120" s="5">
        <v>6.91</v>
      </c>
      <c r="N120" s="5" t="s">
        <v>426</v>
      </c>
      <c r="O120" s="5" t="s">
        <v>131</v>
      </c>
      <c r="P120" s="5" t="s">
        <v>89</v>
      </c>
      <c r="Q120" s="5" t="s">
        <v>74</v>
      </c>
      <c r="R120" s="5" t="s">
        <v>75</v>
      </c>
      <c r="S120" s="5" t="s">
        <v>145</v>
      </c>
    </row>
    <row r="121" spans="1:19" x14ac:dyDescent="0.25">
      <c r="A121" s="5">
        <v>116</v>
      </c>
      <c r="B121" s="5" t="s">
        <v>58</v>
      </c>
      <c r="C121" s="5" t="s">
        <v>427</v>
      </c>
      <c r="D121" s="5" t="s">
        <v>428</v>
      </c>
      <c r="E121" s="5" t="s">
        <v>61</v>
      </c>
      <c r="F121" s="5" t="s">
        <v>376</v>
      </c>
      <c r="G121" s="5" t="s">
        <v>35</v>
      </c>
      <c r="H121" s="5" t="s">
        <v>63</v>
      </c>
      <c r="I121" s="5" t="s">
        <v>24</v>
      </c>
      <c r="J121" s="5" t="s">
        <v>128</v>
      </c>
      <c r="K121" s="5" t="s">
        <v>121</v>
      </c>
      <c r="L121" s="5" t="s">
        <v>93</v>
      </c>
      <c r="M121" s="5">
        <v>4.66</v>
      </c>
      <c r="N121" s="5" t="s">
        <v>429</v>
      </c>
      <c r="O121" s="5" t="s">
        <v>131</v>
      </c>
      <c r="P121" s="5" t="s">
        <v>293</v>
      </c>
      <c r="Q121" s="5" t="s">
        <v>74</v>
      </c>
      <c r="R121" s="5" t="s">
        <v>75</v>
      </c>
      <c r="S121" s="5" t="s">
        <v>203</v>
      </c>
    </row>
    <row r="122" spans="1:19" x14ac:dyDescent="0.25">
      <c r="A122" s="5">
        <v>117</v>
      </c>
      <c r="B122" s="5" t="s">
        <v>58</v>
      </c>
      <c r="C122" s="5" t="s">
        <v>430</v>
      </c>
      <c r="D122" s="5" t="s">
        <v>431</v>
      </c>
      <c r="E122" s="5" t="s">
        <v>61</v>
      </c>
      <c r="F122" s="5" t="s">
        <v>432</v>
      </c>
      <c r="G122" s="5" t="s">
        <v>37</v>
      </c>
      <c r="H122" s="5" t="s">
        <v>63</v>
      </c>
      <c r="I122" s="5" t="s">
        <v>24</v>
      </c>
      <c r="J122" s="5" t="s">
        <v>276</v>
      </c>
      <c r="K122" s="5" t="s">
        <v>277</v>
      </c>
      <c r="L122" s="5" t="s">
        <v>100</v>
      </c>
      <c r="M122" s="5">
        <v>5.16</v>
      </c>
      <c r="N122" s="5" t="s">
        <v>433</v>
      </c>
      <c r="O122" s="5" t="s">
        <v>131</v>
      </c>
      <c r="P122" s="5" t="s">
        <v>249</v>
      </c>
      <c r="Q122" s="5" t="s">
        <v>74</v>
      </c>
      <c r="R122" s="5" t="s">
        <v>75</v>
      </c>
      <c r="S122" s="5" t="s">
        <v>194</v>
      </c>
    </row>
    <row r="123" spans="1:19" x14ac:dyDescent="0.25">
      <c r="A123" s="5">
        <v>118</v>
      </c>
      <c r="B123" s="5" t="s">
        <v>58</v>
      </c>
      <c r="C123" s="5" t="s">
        <v>434</v>
      </c>
      <c r="D123" s="5" t="s">
        <v>435</v>
      </c>
      <c r="E123" s="5" t="s">
        <v>61</v>
      </c>
      <c r="F123" s="5" t="s">
        <v>432</v>
      </c>
      <c r="G123" s="5" t="s">
        <v>37</v>
      </c>
      <c r="H123" s="5" t="s">
        <v>63</v>
      </c>
      <c r="I123" s="5" t="s">
        <v>24</v>
      </c>
      <c r="J123" s="5" t="s">
        <v>115</v>
      </c>
      <c r="K123" s="5" t="s">
        <v>69</v>
      </c>
      <c r="L123" s="5" t="s">
        <v>129</v>
      </c>
      <c r="M123" s="5">
        <v>6.75</v>
      </c>
      <c r="N123" s="5" t="s">
        <v>420</v>
      </c>
      <c r="O123" s="5" t="s">
        <v>131</v>
      </c>
      <c r="P123" s="5" t="s">
        <v>436</v>
      </c>
      <c r="Q123" s="5" t="s">
        <v>74</v>
      </c>
      <c r="R123" s="5" t="s">
        <v>75</v>
      </c>
      <c r="S123" s="5" t="s">
        <v>214</v>
      </c>
    </row>
    <row r="124" spans="1:19" x14ac:dyDescent="0.25">
      <c r="A124" s="5">
        <v>119</v>
      </c>
      <c r="B124" s="5" t="s">
        <v>58</v>
      </c>
      <c r="C124" s="5" t="s">
        <v>437</v>
      </c>
      <c r="D124" s="5" t="s">
        <v>438</v>
      </c>
      <c r="E124" s="5" t="s">
        <v>61</v>
      </c>
      <c r="F124" s="5" t="s">
        <v>432</v>
      </c>
      <c r="G124" s="5" t="s">
        <v>37</v>
      </c>
      <c r="H124" s="5" t="s">
        <v>63</v>
      </c>
      <c r="I124" s="5" t="s">
        <v>105</v>
      </c>
      <c r="J124" s="5" t="s">
        <v>64</v>
      </c>
      <c r="K124" s="5" t="s">
        <v>64</v>
      </c>
      <c r="L124" s="5" t="s">
        <v>64</v>
      </c>
      <c r="M124" s="5" t="s">
        <v>64</v>
      </c>
      <c r="N124" s="5" t="s">
        <v>64</v>
      </c>
      <c r="O124" s="5" t="s">
        <v>64</v>
      </c>
      <c r="P124" s="5" t="s">
        <v>64</v>
      </c>
      <c r="Q124" s="5" t="s">
        <v>64</v>
      </c>
      <c r="R124" s="5" t="s">
        <v>64</v>
      </c>
      <c r="S124" s="5" t="s">
        <v>64</v>
      </c>
    </row>
    <row r="125" spans="1:19" x14ac:dyDescent="0.25">
      <c r="A125" s="5">
        <v>120</v>
      </c>
      <c r="B125" s="5" t="s">
        <v>58</v>
      </c>
      <c r="C125" s="5" t="s">
        <v>439</v>
      </c>
      <c r="D125" s="5" t="s">
        <v>440</v>
      </c>
      <c r="E125" s="5" t="s">
        <v>61</v>
      </c>
      <c r="F125" s="5" t="s">
        <v>432</v>
      </c>
      <c r="G125" s="5" t="s">
        <v>37</v>
      </c>
      <c r="H125" s="5" t="s">
        <v>63</v>
      </c>
      <c r="I125" s="5" t="s">
        <v>24</v>
      </c>
      <c r="J125" s="5" t="s">
        <v>120</v>
      </c>
      <c r="K125" s="5" t="s">
        <v>121</v>
      </c>
      <c r="L125" s="5" t="s">
        <v>122</v>
      </c>
      <c r="M125" s="5">
        <v>4.05</v>
      </c>
      <c r="N125" s="5" t="s">
        <v>420</v>
      </c>
      <c r="O125" s="5" t="s">
        <v>72</v>
      </c>
      <c r="P125" s="5" t="s">
        <v>193</v>
      </c>
      <c r="Q125" s="5" t="s">
        <v>64</v>
      </c>
      <c r="R125" s="5" t="s">
        <v>75</v>
      </c>
      <c r="S125" s="5" t="s">
        <v>194</v>
      </c>
    </row>
    <row r="126" spans="1:19" x14ac:dyDescent="0.25">
      <c r="A126" s="5">
        <v>121</v>
      </c>
      <c r="B126" s="5" t="s">
        <v>58</v>
      </c>
      <c r="C126" s="5" t="s">
        <v>441</v>
      </c>
      <c r="D126" s="5" t="s">
        <v>442</v>
      </c>
      <c r="E126" s="5" t="s">
        <v>61</v>
      </c>
      <c r="F126" s="5" t="s">
        <v>432</v>
      </c>
      <c r="G126" s="5" t="s">
        <v>37</v>
      </c>
      <c r="H126" s="5" t="s">
        <v>63</v>
      </c>
      <c r="I126" s="5" t="s">
        <v>24</v>
      </c>
      <c r="J126" s="5" t="s">
        <v>68</v>
      </c>
      <c r="K126" s="5" t="s">
        <v>69</v>
      </c>
      <c r="L126" s="5" t="s">
        <v>100</v>
      </c>
      <c r="M126" s="5">
        <v>5.5</v>
      </c>
      <c r="N126" s="5" t="s">
        <v>443</v>
      </c>
      <c r="O126" s="5" t="s">
        <v>131</v>
      </c>
      <c r="P126" s="5" t="s">
        <v>89</v>
      </c>
      <c r="Q126" s="5" t="s">
        <v>74</v>
      </c>
      <c r="R126" s="5" t="s">
        <v>75</v>
      </c>
      <c r="S126" s="5" t="s">
        <v>444</v>
      </c>
    </row>
    <row r="127" spans="1:19" x14ac:dyDescent="0.25">
      <c r="A127" s="5">
        <v>122</v>
      </c>
      <c r="B127" s="5" t="s">
        <v>58</v>
      </c>
      <c r="C127" s="5" t="s">
        <v>445</v>
      </c>
      <c r="D127" s="5" t="s">
        <v>446</v>
      </c>
      <c r="E127" s="5" t="s">
        <v>67</v>
      </c>
      <c r="F127" s="5" t="s">
        <v>432</v>
      </c>
      <c r="G127" s="5" t="s">
        <v>37</v>
      </c>
      <c r="H127" s="5" t="s">
        <v>63</v>
      </c>
      <c r="I127" s="5" t="s">
        <v>26</v>
      </c>
      <c r="J127" s="5" t="s">
        <v>64</v>
      </c>
      <c r="K127" s="5" t="s">
        <v>64</v>
      </c>
      <c r="L127" s="5" t="s">
        <v>64</v>
      </c>
      <c r="M127" s="5" t="s">
        <v>64</v>
      </c>
      <c r="N127" s="5" t="s">
        <v>64</v>
      </c>
      <c r="O127" s="5" t="s">
        <v>64</v>
      </c>
      <c r="P127" s="5" t="s">
        <v>64</v>
      </c>
      <c r="Q127" s="5" t="s">
        <v>64</v>
      </c>
      <c r="R127" s="5" t="s">
        <v>64</v>
      </c>
      <c r="S127" s="5" t="s">
        <v>64</v>
      </c>
    </row>
    <row r="128" spans="1:19" x14ac:dyDescent="0.25">
      <c r="A128" s="5">
        <v>123</v>
      </c>
      <c r="B128" s="5" t="s">
        <v>58</v>
      </c>
      <c r="C128" s="5" t="s">
        <v>447</v>
      </c>
      <c r="D128" s="5" t="s">
        <v>448</v>
      </c>
      <c r="E128" s="5" t="s">
        <v>61</v>
      </c>
      <c r="F128" s="5" t="s">
        <v>432</v>
      </c>
      <c r="G128" s="5" t="s">
        <v>37</v>
      </c>
      <c r="H128" s="5" t="s">
        <v>63</v>
      </c>
      <c r="I128" s="5" t="s">
        <v>108</v>
      </c>
      <c r="J128" s="5" t="s">
        <v>64</v>
      </c>
      <c r="K128" s="5" t="s">
        <v>64</v>
      </c>
      <c r="L128" s="5" t="s">
        <v>64</v>
      </c>
      <c r="M128" s="5" t="s">
        <v>64</v>
      </c>
      <c r="N128" s="5" t="s">
        <v>64</v>
      </c>
      <c r="O128" s="5" t="s">
        <v>64</v>
      </c>
      <c r="P128" s="5" t="s">
        <v>64</v>
      </c>
      <c r="Q128" s="5" t="s">
        <v>64</v>
      </c>
      <c r="R128" s="5" t="s">
        <v>64</v>
      </c>
      <c r="S128" s="5" t="s">
        <v>64</v>
      </c>
    </row>
    <row r="129" spans="1:19" x14ac:dyDescent="0.25">
      <c r="A129" s="5">
        <v>124</v>
      </c>
      <c r="B129" s="5" t="s">
        <v>58</v>
      </c>
      <c r="C129" s="5" t="s">
        <v>449</v>
      </c>
      <c r="D129" s="5" t="s">
        <v>450</v>
      </c>
      <c r="E129" s="5" t="s">
        <v>67</v>
      </c>
      <c r="F129" s="5" t="s">
        <v>432</v>
      </c>
      <c r="G129" s="5" t="s">
        <v>37</v>
      </c>
      <c r="H129" s="5" t="s">
        <v>63</v>
      </c>
      <c r="I129" s="5" t="s">
        <v>26</v>
      </c>
      <c r="J129" s="5" t="s">
        <v>64</v>
      </c>
      <c r="K129" s="5" t="s">
        <v>64</v>
      </c>
      <c r="L129" s="5" t="s">
        <v>64</v>
      </c>
      <c r="M129" s="5" t="s">
        <v>64</v>
      </c>
      <c r="N129" s="5" t="s">
        <v>64</v>
      </c>
      <c r="O129" s="5" t="s">
        <v>64</v>
      </c>
      <c r="P129" s="5" t="s">
        <v>64</v>
      </c>
      <c r="Q129" s="5" t="s">
        <v>64</v>
      </c>
      <c r="R129" s="5" t="s">
        <v>64</v>
      </c>
      <c r="S129" s="5" t="s">
        <v>64</v>
      </c>
    </row>
    <row r="130" spans="1:19" x14ac:dyDescent="0.25">
      <c r="A130" s="5">
        <v>125</v>
      </c>
      <c r="B130" s="5" t="s">
        <v>58</v>
      </c>
      <c r="C130" s="5" t="s">
        <v>451</v>
      </c>
      <c r="D130" s="5" t="s">
        <v>378</v>
      </c>
      <c r="E130" s="5" t="s">
        <v>61</v>
      </c>
      <c r="F130" s="5" t="s">
        <v>432</v>
      </c>
      <c r="G130" s="5" t="s">
        <v>37</v>
      </c>
      <c r="H130" s="5" t="s">
        <v>63</v>
      </c>
      <c r="I130" s="5" t="s">
        <v>24</v>
      </c>
      <c r="J130" s="5" t="s">
        <v>68</v>
      </c>
      <c r="K130" s="5" t="s">
        <v>69</v>
      </c>
      <c r="L130" s="5" t="s">
        <v>129</v>
      </c>
      <c r="M130" s="5">
        <v>5.38</v>
      </c>
      <c r="N130" s="5" t="s">
        <v>452</v>
      </c>
      <c r="O130" s="5" t="s">
        <v>72</v>
      </c>
      <c r="P130" s="5" t="s">
        <v>453</v>
      </c>
      <c r="Q130" s="5" t="s">
        <v>74</v>
      </c>
      <c r="R130" s="5" t="s">
        <v>75</v>
      </c>
      <c r="S130" s="5" t="s">
        <v>90</v>
      </c>
    </row>
    <row r="131" spans="1:19" x14ac:dyDescent="0.25">
      <c r="A131" s="5">
        <v>126</v>
      </c>
      <c r="B131" s="5" t="s">
        <v>58</v>
      </c>
      <c r="C131" s="5" t="s">
        <v>454</v>
      </c>
      <c r="D131" s="5" t="s">
        <v>353</v>
      </c>
      <c r="E131" s="5" t="s">
        <v>67</v>
      </c>
      <c r="F131" s="5" t="s">
        <v>432</v>
      </c>
      <c r="G131" s="5" t="s">
        <v>37</v>
      </c>
      <c r="H131" s="5" t="s">
        <v>63</v>
      </c>
      <c r="I131" s="5" t="s">
        <v>24</v>
      </c>
      <c r="J131" s="5" t="s">
        <v>175</v>
      </c>
      <c r="K131" s="5" t="s">
        <v>69</v>
      </c>
      <c r="L131" s="5" t="s">
        <v>129</v>
      </c>
      <c r="M131" s="5">
        <v>5.42</v>
      </c>
      <c r="N131" s="5" t="s">
        <v>455</v>
      </c>
      <c r="O131" s="5" t="s">
        <v>72</v>
      </c>
      <c r="P131" s="5" t="s">
        <v>456</v>
      </c>
      <c r="Q131" s="5" t="s">
        <v>74</v>
      </c>
      <c r="R131" s="5" t="s">
        <v>75</v>
      </c>
      <c r="S131" s="5" t="s">
        <v>283</v>
      </c>
    </row>
    <row r="132" spans="1:19" x14ac:dyDescent="0.25">
      <c r="A132" s="5">
        <v>127</v>
      </c>
      <c r="B132" s="5" t="s">
        <v>58</v>
      </c>
      <c r="C132" s="5" t="s">
        <v>457</v>
      </c>
      <c r="D132" s="5" t="s">
        <v>458</v>
      </c>
      <c r="E132" s="5" t="s">
        <v>67</v>
      </c>
      <c r="F132" s="5" t="s">
        <v>432</v>
      </c>
      <c r="G132" s="5" t="s">
        <v>37</v>
      </c>
      <c r="H132" s="5" t="s">
        <v>63</v>
      </c>
      <c r="I132" s="5" t="s">
        <v>24</v>
      </c>
      <c r="J132" s="5" t="s">
        <v>120</v>
      </c>
      <c r="K132" s="5" t="s">
        <v>121</v>
      </c>
      <c r="L132" s="5" t="s">
        <v>129</v>
      </c>
      <c r="M132" s="5">
        <v>5.59</v>
      </c>
      <c r="N132" s="5" t="s">
        <v>459</v>
      </c>
      <c r="O132" s="5" t="s">
        <v>72</v>
      </c>
      <c r="P132" s="5" t="s">
        <v>293</v>
      </c>
      <c r="Q132" s="5" t="s">
        <v>74</v>
      </c>
      <c r="R132" s="5" t="s">
        <v>75</v>
      </c>
      <c r="S132" s="5" t="s">
        <v>306</v>
      </c>
    </row>
    <row r="133" spans="1:19" x14ac:dyDescent="0.25">
      <c r="A133" s="5">
        <v>128</v>
      </c>
      <c r="B133" s="5" t="s">
        <v>58</v>
      </c>
      <c r="C133" s="5" t="s">
        <v>460</v>
      </c>
      <c r="D133" s="5" t="s">
        <v>273</v>
      </c>
      <c r="E133" s="5" t="s">
        <v>67</v>
      </c>
      <c r="F133" s="5" t="s">
        <v>432</v>
      </c>
      <c r="G133" s="5" t="s">
        <v>37</v>
      </c>
      <c r="H133" s="5" t="s">
        <v>63</v>
      </c>
      <c r="I133" s="5" t="s">
        <v>26</v>
      </c>
      <c r="J133" s="5" t="s">
        <v>64</v>
      </c>
      <c r="K133" s="5" t="s">
        <v>64</v>
      </c>
      <c r="L133" s="5" t="s">
        <v>64</v>
      </c>
      <c r="M133" s="5" t="s">
        <v>64</v>
      </c>
      <c r="N133" s="5" t="s">
        <v>64</v>
      </c>
      <c r="O133" s="5" t="s">
        <v>64</v>
      </c>
      <c r="P133" s="5" t="s">
        <v>64</v>
      </c>
      <c r="Q133" s="5" t="s">
        <v>64</v>
      </c>
      <c r="R133" s="5" t="s">
        <v>64</v>
      </c>
      <c r="S133" s="5" t="s">
        <v>64</v>
      </c>
    </row>
    <row r="134" spans="1:19" x14ac:dyDescent="0.25">
      <c r="A134" s="5">
        <v>129</v>
      </c>
      <c r="B134" s="5" t="s">
        <v>58</v>
      </c>
      <c r="C134" s="5" t="s">
        <v>461</v>
      </c>
      <c r="D134" s="5" t="s">
        <v>462</v>
      </c>
      <c r="E134" s="5" t="s">
        <v>67</v>
      </c>
      <c r="F134" s="5" t="s">
        <v>432</v>
      </c>
      <c r="G134" s="5" t="s">
        <v>37</v>
      </c>
      <c r="H134" s="5" t="s">
        <v>63</v>
      </c>
      <c r="I134" s="5" t="s">
        <v>24</v>
      </c>
      <c r="J134" s="5" t="s">
        <v>79</v>
      </c>
      <c r="K134" s="5" t="s">
        <v>69</v>
      </c>
      <c r="L134" s="5" t="s">
        <v>142</v>
      </c>
      <c r="M134" s="5">
        <v>3.81</v>
      </c>
      <c r="N134" s="5" t="s">
        <v>463</v>
      </c>
      <c r="O134" s="5" t="s">
        <v>131</v>
      </c>
      <c r="P134" s="5" t="s">
        <v>188</v>
      </c>
      <c r="Q134" s="5" t="s">
        <v>74</v>
      </c>
      <c r="R134" s="5" t="s">
        <v>75</v>
      </c>
      <c r="S134" s="5" t="s">
        <v>145</v>
      </c>
    </row>
    <row r="135" spans="1:19" x14ac:dyDescent="0.25">
      <c r="A135" s="5">
        <v>130</v>
      </c>
      <c r="B135" s="5" t="s">
        <v>58</v>
      </c>
      <c r="C135" s="5" t="s">
        <v>464</v>
      </c>
      <c r="D135" s="5" t="s">
        <v>235</v>
      </c>
      <c r="E135" s="5" t="s">
        <v>67</v>
      </c>
      <c r="F135" s="5" t="s">
        <v>432</v>
      </c>
      <c r="G135" s="5" t="s">
        <v>37</v>
      </c>
      <c r="H135" s="5" t="s">
        <v>63</v>
      </c>
      <c r="I135" s="5" t="s">
        <v>108</v>
      </c>
      <c r="J135" s="5" t="s">
        <v>64</v>
      </c>
      <c r="K135" s="5" t="s">
        <v>64</v>
      </c>
      <c r="L135" s="5" t="s">
        <v>64</v>
      </c>
      <c r="M135" s="5" t="s">
        <v>64</v>
      </c>
      <c r="N135" s="5" t="s">
        <v>64</v>
      </c>
      <c r="O135" s="5" t="s">
        <v>64</v>
      </c>
      <c r="P135" s="5" t="s">
        <v>64</v>
      </c>
      <c r="Q135" s="5" t="s">
        <v>64</v>
      </c>
      <c r="R135" s="5" t="s">
        <v>64</v>
      </c>
      <c r="S135" s="5" t="s">
        <v>64</v>
      </c>
    </row>
    <row r="136" spans="1:19" x14ac:dyDescent="0.25">
      <c r="A136" s="5">
        <v>131</v>
      </c>
      <c r="B136" s="5" t="s">
        <v>58</v>
      </c>
      <c r="C136" s="5" t="s">
        <v>465</v>
      </c>
      <c r="D136" s="5" t="s">
        <v>313</v>
      </c>
      <c r="E136" s="5" t="s">
        <v>61</v>
      </c>
      <c r="F136" s="5" t="s">
        <v>432</v>
      </c>
      <c r="G136" s="5" t="s">
        <v>37</v>
      </c>
      <c r="H136" s="5" t="s">
        <v>63</v>
      </c>
      <c r="I136" s="5" t="s">
        <v>24</v>
      </c>
      <c r="J136" s="5" t="s">
        <v>68</v>
      </c>
      <c r="K136" s="5" t="s">
        <v>69</v>
      </c>
      <c r="L136" s="5" t="s">
        <v>142</v>
      </c>
      <c r="M136" s="5">
        <v>5.37</v>
      </c>
      <c r="N136" s="5" t="s">
        <v>213</v>
      </c>
      <c r="O136" s="5" t="s">
        <v>72</v>
      </c>
      <c r="P136" s="5" t="s">
        <v>116</v>
      </c>
      <c r="Q136" s="5" t="s">
        <v>74</v>
      </c>
      <c r="R136" s="5" t="s">
        <v>75</v>
      </c>
      <c r="S136" s="5" t="s">
        <v>233</v>
      </c>
    </row>
    <row r="137" spans="1:19" x14ac:dyDescent="0.25">
      <c r="A137" s="5">
        <v>132</v>
      </c>
      <c r="B137" s="5" t="s">
        <v>58</v>
      </c>
      <c r="C137" s="5" t="s">
        <v>466</v>
      </c>
      <c r="D137" s="5" t="s">
        <v>435</v>
      </c>
      <c r="E137" s="5" t="s">
        <v>61</v>
      </c>
      <c r="F137" s="5" t="s">
        <v>432</v>
      </c>
      <c r="G137" s="5" t="s">
        <v>37</v>
      </c>
      <c r="H137" s="5" t="s">
        <v>63</v>
      </c>
      <c r="I137" s="5" t="s">
        <v>24</v>
      </c>
      <c r="J137" s="5" t="s">
        <v>99</v>
      </c>
      <c r="K137" s="5" t="s">
        <v>69</v>
      </c>
      <c r="L137" s="5" t="s">
        <v>100</v>
      </c>
      <c r="M137" s="5">
        <v>4.86</v>
      </c>
      <c r="N137" s="5" t="s">
        <v>101</v>
      </c>
      <c r="O137" s="5" t="s">
        <v>72</v>
      </c>
      <c r="P137" s="5" t="s">
        <v>224</v>
      </c>
      <c r="Q137" s="5" t="s">
        <v>64</v>
      </c>
      <c r="R137" s="5" t="s">
        <v>75</v>
      </c>
      <c r="S137" s="5" t="s">
        <v>467</v>
      </c>
    </row>
    <row r="138" spans="1:19" x14ac:dyDescent="0.25">
      <c r="A138" s="5">
        <v>133</v>
      </c>
      <c r="B138" s="5" t="s">
        <v>58</v>
      </c>
      <c r="C138" s="5" t="s">
        <v>468</v>
      </c>
      <c r="D138" s="5" t="s">
        <v>469</v>
      </c>
      <c r="E138" s="5" t="s">
        <v>67</v>
      </c>
      <c r="F138" s="5" t="s">
        <v>432</v>
      </c>
      <c r="G138" s="5" t="s">
        <v>37</v>
      </c>
      <c r="H138" s="5" t="s">
        <v>63</v>
      </c>
      <c r="I138" s="5" t="s">
        <v>24</v>
      </c>
      <c r="J138" s="5" t="s">
        <v>79</v>
      </c>
      <c r="K138" s="5" t="s">
        <v>69</v>
      </c>
      <c r="L138" s="5" t="s">
        <v>100</v>
      </c>
      <c r="M138" s="5">
        <v>5.18</v>
      </c>
      <c r="N138" s="5" t="s">
        <v>197</v>
      </c>
      <c r="O138" s="5" t="s">
        <v>81</v>
      </c>
      <c r="P138" s="5" t="s">
        <v>202</v>
      </c>
      <c r="Q138" s="5" t="s">
        <v>74</v>
      </c>
      <c r="R138" s="5" t="s">
        <v>75</v>
      </c>
      <c r="S138" s="5" t="s">
        <v>189</v>
      </c>
    </row>
    <row r="139" spans="1:19" x14ac:dyDescent="0.25">
      <c r="A139" s="5">
        <v>134</v>
      </c>
      <c r="B139" s="5" t="s">
        <v>58</v>
      </c>
      <c r="C139" s="5" t="s">
        <v>470</v>
      </c>
      <c r="D139" s="5" t="s">
        <v>471</v>
      </c>
      <c r="E139" s="5" t="s">
        <v>61</v>
      </c>
      <c r="F139" s="5" t="s">
        <v>432</v>
      </c>
      <c r="G139" s="5" t="s">
        <v>37</v>
      </c>
      <c r="H139" s="5" t="s">
        <v>63</v>
      </c>
      <c r="I139" s="5" t="s">
        <v>108</v>
      </c>
      <c r="J139" s="5" t="s">
        <v>64</v>
      </c>
      <c r="K139" s="5" t="s">
        <v>64</v>
      </c>
      <c r="L139" s="5" t="s">
        <v>64</v>
      </c>
      <c r="M139" s="5" t="s">
        <v>64</v>
      </c>
      <c r="N139" s="5" t="s">
        <v>64</v>
      </c>
      <c r="O139" s="5" t="s">
        <v>64</v>
      </c>
      <c r="P139" s="5" t="s">
        <v>64</v>
      </c>
      <c r="Q139" s="5" t="s">
        <v>64</v>
      </c>
      <c r="R139" s="5" t="s">
        <v>64</v>
      </c>
      <c r="S139" s="5" t="s">
        <v>64</v>
      </c>
    </row>
    <row r="140" spans="1:19" x14ac:dyDescent="0.25">
      <c r="A140" s="5">
        <v>135</v>
      </c>
      <c r="B140" s="5" t="s">
        <v>58</v>
      </c>
      <c r="C140" s="5" t="s">
        <v>472</v>
      </c>
      <c r="D140" s="5" t="s">
        <v>473</v>
      </c>
      <c r="E140" s="5" t="s">
        <v>61</v>
      </c>
      <c r="F140" s="5" t="s">
        <v>432</v>
      </c>
      <c r="G140" s="5" t="s">
        <v>37</v>
      </c>
      <c r="H140" s="5" t="s">
        <v>63</v>
      </c>
      <c r="I140" s="5" t="s">
        <v>24</v>
      </c>
      <c r="J140" s="5" t="s">
        <v>276</v>
      </c>
      <c r="K140" s="5" t="s">
        <v>277</v>
      </c>
      <c r="L140" s="5" t="s">
        <v>93</v>
      </c>
      <c r="M140" s="5">
        <v>4.57</v>
      </c>
      <c r="N140" s="5" t="s">
        <v>474</v>
      </c>
      <c r="O140" s="5" t="s">
        <v>131</v>
      </c>
      <c r="P140" s="5" t="s">
        <v>249</v>
      </c>
      <c r="Q140" s="5" t="s">
        <v>74</v>
      </c>
      <c r="R140" s="5" t="s">
        <v>75</v>
      </c>
      <c r="S140" s="5" t="s">
        <v>203</v>
      </c>
    </row>
    <row r="141" spans="1:19" x14ac:dyDescent="0.25">
      <c r="A141" s="5">
        <v>136</v>
      </c>
      <c r="B141" s="5" t="s">
        <v>58</v>
      </c>
      <c r="C141" s="5" t="s">
        <v>475</v>
      </c>
      <c r="D141" s="5" t="s">
        <v>476</v>
      </c>
      <c r="E141" s="5" t="s">
        <v>67</v>
      </c>
      <c r="F141" s="5" t="s">
        <v>432</v>
      </c>
      <c r="G141" s="5" t="s">
        <v>37</v>
      </c>
      <c r="H141" s="5" t="s">
        <v>63</v>
      </c>
      <c r="I141" s="5" t="s">
        <v>24</v>
      </c>
      <c r="J141" s="5" t="s">
        <v>175</v>
      </c>
      <c r="K141" s="5" t="s">
        <v>69</v>
      </c>
      <c r="L141" s="5" t="s">
        <v>142</v>
      </c>
      <c r="M141" s="5">
        <v>4.46</v>
      </c>
      <c r="N141" s="5" t="s">
        <v>361</v>
      </c>
      <c r="O141" s="5" t="s">
        <v>81</v>
      </c>
      <c r="P141" s="5" t="s">
        <v>436</v>
      </c>
      <c r="Q141" s="5" t="s">
        <v>74</v>
      </c>
      <c r="R141" s="5" t="s">
        <v>75</v>
      </c>
      <c r="S141" s="5" t="s">
        <v>194</v>
      </c>
    </row>
    <row r="142" spans="1:19" x14ac:dyDescent="0.25">
      <c r="A142" s="5">
        <v>137</v>
      </c>
      <c r="B142" s="5" t="s">
        <v>58</v>
      </c>
      <c r="C142" s="5" t="s">
        <v>477</v>
      </c>
      <c r="D142" s="5" t="s">
        <v>285</v>
      </c>
      <c r="E142" s="5" t="s">
        <v>61</v>
      </c>
      <c r="F142" s="5" t="s">
        <v>432</v>
      </c>
      <c r="G142" s="5" t="s">
        <v>37</v>
      </c>
      <c r="H142" s="5" t="s">
        <v>63</v>
      </c>
      <c r="I142" s="5" t="s">
        <v>24</v>
      </c>
      <c r="J142" s="5" t="s">
        <v>175</v>
      </c>
      <c r="K142" s="5" t="s">
        <v>69</v>
      </c>
      <c r="L142" s="5" t="s">
        <v>93</v>
      </c>
      <c r="M142" s="5">
        <v>4.74</v>
      </c>
      <c r="N142" s="5" t="s">
        <v>478</v>
      </c>
      <c r="O142" s="5" t="s">
        <v>72</v>
      </c>
      <c r="P142" s="5" t="s">
        <v>132</v>
      </c>
      <c r="Q142" s="5" t="s">
        <v>74</v>
      </c>
      <c r="R142" s="5" t="s">
        <v>75</v>
      </c>
      <c r="S142" s="5" t="s">
        <v>203</v>
      </c>
    </row>
    <row r="143" spans="1:19" x14ac:dyDescent="0.25">
      <c r="A143" s="5">
        <v>138</v>
      </c>
      <c r="B143" s="5" t="s">
        <v>58</v>
      </c>
      <c r="C143" s="5" t="s">
        <v>479</v>
      </c>
      <c r="D143" s="5" t="s">
        <v>480</v>
      </c>
      <c r="E143" s="5" t="s">
        <v>61</v>
      </c>
      <c r="F143" s="5" t="s">
        <v>432</v>
      </c>
      <c r="G143" s="5" t="s">
        <v>37</v>
      </c>
      <c r="H143" s="5" t="s">
        <v>63</v>
      </c>
      <c r="I143" s="5" t="s">
        <v>24</v>
      </c>
      <c r="J143" s="5" t="s">
        <v>115</v>
      </c>
      <c r="K143" s="5" t="s">
        <v>69</v>
      </c>
      <c r="L143" s="5" t="s">
        <v>100</v>
      </c>
      <c r="M143" s="5">
        <v>7.09</v>
      </c>
      <c r="N143" s="5" t="s">
        <v>481</v>
      </c>
      <c r="O143" s="5" t="s">
        <v>72</v>
      </c>
      <c r="P143" s="5" t="s">
        <v>132</v>
      </c>
      <c r="Q143" s="5" t="s">
        <v>74</v>
      </c>
      <c r="R143" s="5" t="s">
        <v>75</v>
      </c>
      <c r="S143" s="5" t="s">
        <v>467</v>
      </c>
    </row>
    <row r="144" spans="1:19" x14ac:dyDescent="0.25">
      <c r="A144" s="5">
        <v>139</v>
      </c>
      <c r="B144" s="5" t="s">
        <v>58</v>
      </c>
      <c r="C144" s="5" t="s">
        <v>482</v>
      </c>
      <c r="D144" s="5" t="s">
        <v>174</v>
      </c>
      <c r="E144" s="5" t="s">
        <v>61</v>
      </c>
      <c r="F144" s="5" t="s">
        <v>432</v>
      </c>
      <c r="G144" s="5" t="s">
        <v>37</v>
      </c>
      <c r="H144" s="5" t="s">
        <v>63</v>
      </c>
      <c r="I144" s="5" t="s">
        <v>24</v>
      </c>
      <c r="J144" s="5" t="s">
        <v>115</v>
      </c>
      <c r="K144" s="5" t="s">
        <v>69</v>
      </c>
      <c r="L144" s="5" t="s">
        <v>142</v>
      </c>
      <c r="M144" s="5">
        <v>7.52</v>
      </c>
      <c r="N144" s="5" t="s">
        <v>333</v>
      </c>
      <c r="O144" s="5" t="s">
        <v>131</v>
      </c>
      <c r="P144" s="5" t="s">
        <v>124</v>
      </c>
      <c r="Q144" s="5" t="s">
        <v>74</v>
      </c>
      <c r="R144" s="5" t="s">
        <v>75</v>
      </c>
      <c r="S144" s="5" t="s">
        <v>125</v>
      </c>
    </row>
    <row r="145" spans="1:19" x14ac:dyDescent="0.25">
      <c r="A145" s="5">
        <v>140</v>
      </c>
      <c r="B145" s="5" t="s">
        <v>58</v>
      </c>
      <c r="C145" s="5" t="s">
        <v>483</v>
      </c>
      <c r="D145" s="5" t="s">
        <v>251</v>
      </c>
      <c r="E145" s="5" t="s">
        <v>61</v>
      </c>
      <c r="F145" s="5" t="s">
        <v>432</v>
      </c>
      <c r="G145" s="5" t="s">
        <v>37</v>
      </c>
      <c r="H145" s="5" t="s">
        <v>63</v>
      </c>
      <c r="I145" s="5" t="s">
        <v>24</v>
      </c>
      <c r="J145" s="5" t="s">
        <v>276</v>
      </c>
      <c r="K145" s="5" t="s">
        <v>277</v>
      </c>
      <c r="L145" s="5" t="s">
        <v>93</v>
      </c>
      <c r="M145" s="5">
        <v>4.76</v>
      </c>
      <c r="N145" s="5" t="s">
        <v>201</v>
      </c>
      <c r="O145" s="5" t="s">
        <v>72</v>
      </c>
      <c r="P145" s="5" t="s">
        <v>484</v>
      </c>
      <c r="Q145" s="5" t="s">
        <v>74</v>
      </c>
      <c r="R145" s="5" t="s">
        <v>75</v>
      </c>
      <c r="S145" s="5" t="s">
        <v>214</v>
      </c>
    </row>
  </sheetData>
  <autoFilter ref="A5:S145"/>
  <mergeCells count="2">
    <mergeCell ref="A1:S1"/>
    <mergeCell ref="A2:S2"/>
  </mergeCells>
  <hyperlinks>
    <hyperlink ref="Q7" r:id="rId1"/>
    <hyperlink ref="Q8" r:id="rId2"/>
    <hyperlink ref="Q9" r:id="rId3"/>
    <hyperlink ref="Q10" r:id="rId4"/>
    <hyperlink ref="Q16" r:id="rId5"/>
    <hyperlink ref="Q17" r:id="rId6"/>
    <hyperlink ref="Q19" r:id="rId7"/>
    <hyperlink ref="Q20" r:id="rId8"/>
    <hyperlink ref="Q21" r:id="rId9"/>
    <hyperlink ref="Q30" r:id="rId10"/>
    <hyperlink ref="Q32" r:id="rId11"/>
    <hyperlink ref="Q34" r:id="rId12"/>
    <hyperlink ref="Q35" r:id="rId13"/>
    <hyperlink ref="Q36" r:id="rId14"/>
    <hyperlink ref="Q37" r:id="rId15"/>
    <hyperlink ref="Q38" r:id="rId16"/>
    <hyperlink ref="Q39" r:id="rId17"/>
    <hyperlink ref="Q40" r:id="rId18"/>
    <hyperlink ref="Q44" r:id="rId19"/>
    <hyperlink ref="Q46" r:id="rId20"/>
    <hyperlink ref="Q47" r:id="rId21"/>
    <hyperlink ref="Q48" r:id="rId22"/>
    <hyperlink ref="Q49" r:id="rId23"/>
    <hyperlink ref="Q54" r:id="rId24"/>
    <hyperlink ref="Q57" r:id="rId25"/>
    <hyperlink ref="Q58" r:id="rId26"/>
    <hyperlink ref="Q62" r:id="rId27"/>
    <hyperlink ref="Q64" r:id="rId28"/>
    <hyperlink ref="Q65" r:id="rId29"/>
    <hyperlink ref="Q66" r:id="rId30"/>
    <hyperlink ref="Q67" r:id="rId31"/>
    <hyperlink ref="Q68" r:id="rId32"/>
    <hyperlink ref="Q69" r:id="rId33"/>
    <hyperlink ref="Q70" r:id="rId34"/>
    <hyperlink ref="Q71" r:id="rId35"/>
    <hyperlink ref="Q74" r:id="rId36"/>
    <hyperlink ref="Q75" r:id="rId37"/>
    <hyperlink ref="Q76" r:id="rId38"/>
    <hyperlink ref="Q77" r:id="rId39"/>
    <hyperlink ref="Q79" r:id="rId40"/>
    <hyperlink ref="Q80" r:id="rId41"/>
    <hyperlink ref="Q81" r:id="rId42"/>
    <hyperlink ref="Q82" r:id="rId43"/>
    <hyperlink ref="Q84" r:id="rId44"/>
    <hyperlink ref="Q85" r:id="rId45"/>
    <hyperlink ref="Q86" r:id="rId46"/>
    <hyperlink ref="Q88" r:id="rId47"/>
    <hyperlink ref="Q91" r:id="rId48"/>
    <hyperlink ref="Q92" r:id="rId49"/>
    <hyperlink ref="Q93" r:id="rId50"/>
    <hyperlink ref="Q94" r:id="rId51"/>
    <hyperlink ref="Q97" r:id="rId52"/>
    <hyperlink ref="Q98" r:id="rId53"/>
    <hyperlink ref="Q99" r:id="rId54"/>
    <hyperlink ref="Q102" r:id="rId55"/>
    <hyperlink ref="Q103" r:id="rId56"/>
    <hyperlink ref="Q104" r:id="rId57"/>
    <hyperlink ref="Q105" r:id="rId58"/>
    <hyperlink ref="Q106" r:id="rId59"/>
    <hyperlink ref="Q107" r:id="rId60"/>
    <hyperlink ref="Q110" r:id="rId61"/>
    <hyperlink ref="Q112" r:id="rId62"/>
    <hyperlink ref="Q113" r:id="rId63"/>
    <hyperlink ref="Q115" r:id="rId64"/>
    <hyperlink ref="Q116" r:id="rId65"/>
    <hyperlink ref="Q118" r:id="rId66"/>
    <hyperlink ref="Q120" r:id="rId67"/>
    <hyperlink ref="Q121" r:id="rId68"/>
    <hyperlink ref="Q122" r:id="rId69"/>
    <hyperlink ref="Q123" r:id="rId70"/>
    <hyperlink ref="Q126" r:id="rId71"/>
    <hyperlink ref="Q130" r:id="rId72"/>
    <hyperlink ref="Q131" r:id="rId73"/>
    <hyperlink ref="Q132" r:id="rId74"/>
    <hyperlink ref="Q134" r:id="rId75"/>
    <hyperlink ref="Q136" r:id="rId76"/>
    <hyperlink ref="Q138" r:id="rId77"/>
    <hyperlink ref="Q140" r:id="rId78"/>
    <hyperlink ref="Q141" r:id="rId79"/>
    <hyperlink ref="Q142" r:id="rId80"/>
    <hyperlink ref="Q143" r:id="rId81"/>
    <hyperlink ref="Q144" r:id="rId82"/>
    <hyperlink ref="Q145" r:id="rId83"/>
  </hyperlink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6" customWidth="1"/>
    <col min="4" max="4" width="26" customWidth="1"/>
    <col min="5" max="5" width="28" customWidth="1"/>
    <col min="6" max="6" width="14" customWidth="1"/>
    <col min="7" max="7" width="26" customWidth="1"/>
    <col min="8" max="8" width="30" customWidth="1"/>
    <col min="9" max="10" width="28" customWidth="1"/>
  </cols>
  <sheetData>
    <row r="1" spans="1:10" x14ac:dyDescent="0.25">
      <c r="A1" s="1" t="s">
        <v>485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486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5" ht="30" customHeight="1" spans="1:10" x14ac:dyDescent="0.25">
      <c r="A5" s="4" t="s">
        <v>40</v>
      </c>
      <c r="B5" s="4" t="s">
        <v>41</v>
      </c>
      <c r="C5" s="4" t="s">
        <v>42</v>
      </c>
      <c r="D5" s="4" t="s">
        <v>43</v>
      </c>
      <c r="E5" s="4" t="s">
        <v>45</v>
      </c>
      <c r="F5" s="4" t="s">
        <v>22</v>
      </c>
      <c r="G5" s="4" t="s">
        <v>487</v>
      </c>
      <c r="H5" s="4" t="s">
        <v>488</v>
      </c>
      <c r="I5" s="4" t="s">
        <v>489</v>
      </c>
      <c r="J5" s="4" t="s">
        <v>490</v>
      </c>
    </row>
    <row r="6" spans="1:10" x14ac:dyDescent="0.25">
      <c r="A6" s="5">
        <v>1</v>
      </c>
      <c r="B6" s="5" t="s">
        <v>58</v>
      </c>
      <c r="C6" s="5" t="s">
        <v>59</v>
      </c>
      <c r="D6" s="5" t="s">
        <v>60</v>
      </c>
      <c r="E6" s="5" t="s">
        <v>62</v>
      </c>
      <c r="F6" s="5" t="s">
        <v>33</v>
      </c>
      <c r="G6" s="5" t="s">
        <v>26</v>
      </c>
      <c r="H6" s="5" t="s">
        <v>491</v>
      </c>
      <c r="I6" s="5" t="s">
        <v>492</v>
      </c>
      <c r="J6" s="5" t="s">
        <v>74</v>
      </c>
    </row>
    <row r="7" spans="1:10" x14ac:dyDescent="0.25">
      <c r="A7" s="5">
        <v>2</v>
      </c>
      <c r="B7" s="5" t="s">
        <v>58</v>
      </c>
      <c r="C7" s="5" t="s">
        <v>103</v>
      </c>
      <c r="D7" s="5" t="s">
        <v>104</v>
      </c>
      <c r="E7" s="5" t="s">
        <v>62</v>
      </c>
      <c r="F7" s="5" t="s">
        <v>33</v>
      </c>
      <c r="G7" s="5" t="s">
        <v>105</v>
      </c>
      <c r="H7" s="5" t="s">
        <v>493</v>
      </c>
      <c r="I7" s="5" t="s">
        <v>494</v>
      </c>
      <c r="J7" s="5" t="s">
        <v>74</v>
      </c>
    </row>
    <row r="8" spans="1:10" x14ac:dyDescent="0.25">
      <c r="A8" s="5">
        <v>3</v>
      </c>
      <c r="B8" s="5" t="s">
        <v>58</v>
      </c>
      <c r="C8" s="5" t="s">
        <v>109</v>
      </c>
      <c r="D8" s="5" t="s">
        <v>110</v>
      </c>
      <c r="E8" s="5" t="s">
        <v>62</v>
      </c>
      <c r="F8" s="5" t="s">
        <v>33</v>
      </c>
      <c r="G8" s="5" t="s">
        <v>26</v>
      </c>
      <c r="H8" s="5" t="s">
        <v>495</v>
      </c>
      <c r="I8" s="5" t="s">
        <v>496</v>
      </c>
      <c r="J8" s="5" t="s">
        <v>74</v>
      </c>
    </row>
    <row r="9" spans="1:10" x14ac:dyDescent="0.25">
      <c r="A9" s="5">
        <v>4</v>
      </c>
      <c r="B9" s="5" t="s">
        <v>58</v>
      </c>
      <c r="C9" s="5" t="s">
        <v>161</v>
      </c>
      <c r="D9" s="5" t="s">
        <v>162</v>
      </c>
      <c r="E9" s="5" t="s">
        <v>62</v>
      </c>
      <c r="F9" s="5" t="s">
        <v>33</v>
      </c>
      <c r="G9" s="5" t="s">
        <v>105</v>
      </c>
      <c r="H9" s="5" t="s">
        <v>497</v>
      </c>
      <c r="I9" s="5" t="s">
        <v>494</v>
      </c>
      <c r="J9" s="5" t="s">
        <v>74</v>
      </c>
    </row>
    <row r="10" spans="1:10" x14ac:dyDescent="0.25">
      <c r="A10" s="5">
        <v>5</v>
      </c>
      <c r="B10" s="5" t="s">
        <v>58</v>
      </c>
      <c r="C10" s="5" t="s">
        <v>165</v>
      </c>
      <c r="D10" s="5" t="s">
        <v>166</v>
      </c>
      <c r="E10" s="5" t="s">
        <v>62</v>
      </c>
      <c r="F10" s="5" t="s">
        <v>33</v>
      </c>
      <c r="G10" s="5" t="s">
        <v>105</v>
      </c>
      <c r="H10" s="5" t="s">
        <v>498</v>
      </c>
      <c r="I10" s="5" t="s">
        <v>494</v>
      </c>
      <c r="J10" s="5" t="s">
        <v>74</v>
      </c>
    </row>
    <row r="11" spans="1:10" x14ac:dyDescent="0.25">
      <c r="A11" s="5">
        <v>6</v>
      </c>
      <c r="B11" s="5" t="s">
        <v>58</v>
      </c>
      <c r="C11" s="5" t="s">
        <v>167</v>
      </c>
      <c r="D11" s="5" t="s">
        <v>168</v>
      </c>
      <c r="E11" s="5" t="s">
        <v>62</v>
      </c>
      <c r="F11" s="5" t="s">
        <v>33</v>
      </c>
      <c r="G11" s="5" t="s">
        <v>26</v>
      </c>
      <c r="H11" s="5" t="s">
        <v>499</v>
      </c>
      <c r="I11" s="5" t="s">
        <v>500</v>
      </c>
      <c r="J11" s="5" t="s">
        <v>74</v>
      </c>
    </row>
    <row r="12" spans="1:10" x14ac:dyDescent="0.25">
      <c r="A12" s="5">
        <v>7</v>
      </c>
      <c r="B12" s="5" t="s">
        <v>58</v>
      </c>
      <c r="C12" s="5" t="s">
        <v>241</v>
      </c>
      <c r="D12" s="5" t="s">
        <v>242</v>
      </c>
      <c r="E12" s="5" t="s">
        <v>222</v>
      </c>
      <c r="F12" s="5" t="s">
        <v>36</v>
      </c>
      <c r="G12" s="5" t="s">
        <v>26</v>
      </c>
      <c r="H12" s="5" t="s">
        <v>491</v>
      </c>
      <c r="I12" s="5" t="s">
        <v>501</v>
      </c>
      <c r="J12" s="5" t="s">
        <v>74</v>
      </c>
    </row>
    <row r="13" spans="1:10" x14ac:dyDescent="0.25">
      <c r="A13" s="5">
        <v>8</v>
      </c>
      <c r="B13" s="5" t="s">
        <v>58</v>
      </c>
      <c r="C13" s="5" t="s">
        <v>250</v>
      </c>
      <c r="D13" s="5" t="s">
        <v>251</v>
      </c>
      <c r="E13" s="5" t="s">
        <v>222</v>
      </c>
      <c r="F13" s="5" t="s">
        <v>36</v>
      </c>
      <c r="G13" s="5" t="s">
        <v>26</v>
      </c>
      <c r="H13" s="5" t="s">
        <v>491</v>
      </c>
      <c r="I13" s="5" t="s">
        <v>502</v>
      </c>
      <c r="J13" s="5" t="s">
        <v>74</v>
      </c>
    </row>
    <row r="14" spans="1:10" x14ac:dyDescent="0.25">
      <c r="A14" s="5">
        <v>9</v>
      </c>
      <c r="B14" s="5" t="s">
        <v>58</v>
      </c>
      <c r="C14" s="5" t="s">
        <v>263</v>
      </c>
      <c r="D14" s="5" t="s">
        <v>185</v>
      </c>
      <c r="E14" s="5" t="s">
        <v>222</v>
      </c>
      <c r="F14" s="5" t="s">
        <v>36</v>
      </c>
      <c r="G14" s="5" t="s">
        <v>105</v>
      </c>
      <c r="H14" s="5" t="s">
        <v>498</v>
      </c>
      <c r="I14" s="5" t="s">
        <v>494</v>
      </c>
      <c r="J14" s="5" t="s">
        <v>74</v>
      </c>
    </row>
    <row r="15" spans="1:10" x14ac:dyDescent="0.25">
      <c r="A15" s="5">
        <v>10</v>
      </c>
      <c r="B15" s="5" t="s">
        <v>58</v>
      </c>
      <c r="C15" s="5" t="s">
        <v>266</v>
      </c>
      <c r="D15" s="5" t="s">
        <v>267</v>
      </c>
      <c r="E15" s="5" t="s">
        <v>222</v>
      </c>
      <c r="F15" s="5" t="s">
        <v>36</v>
      </c>
      <c r="G15" s="5" t="s">
        <v>105</v>
      </c>
      <c r="H15" s="5" t="s">
        <v>503</v>
      </c>
      <c r="I15" s="5" t="s">
        <v>494</v>
      </c>
      <c r="J15" s="5" t="s">
        <v>74</v>
      </c>
    </row>
    <row r="16" spans="1:10" x14ac:dyDescent="0.25">
      <c r="A16" s="5">
        <v>11</v>
      </c>
      <c r="B16" s="5" t="s">
        <v>58</v>
      </c>
      <c r="C16" s="5" t="s">
        <v>307</v>
      </c>
      <c r="D16" s="5" t="s">
        <v>308</v>
      </c>
      <c r="E16" s="5" t="s">
        <v>299</v>
      </c>
      <c r="F16" s="5" t="s">
        <v>34</v>
      </c>
      <c r="G16" s="5" t="s">
        <v>105</v>
      </c>
      <c r="H16" s="5" t="s">
        <v>504</v>
      </c>
      <c r="I16" s="5" t="s">
        <v>494</v>
      </c>
      <c r="J16" s="5" t="s">
        <v>64</v>
      </c>
    </row>
    <row r="17" spans="1:10" x14ac:dyDescent="0.25">
      <c r="A17" s="5">
        <v>12</v>
      </c>
      <c r="B17" s="5" t="s">
        <v>58</v>
      </c>
      <c r="C17" s="5" t="s">
        <v>354</v>
      </c>
      <c r="D17" s="5" t="s">
        <v>355</v>
      </c>
      <c r="E17" s="5" t="s">
        <v>299</v>
      </c>
      <c r="F17" s="5" t="s">
        <v>34</v>
      </c>
      <c r="G17" s="5" t="s">
        <v>26</v>
      </c>
      <c r="H17" s="5" t="s">
        <v>505</v>
      </c>
      <c r="I17" s="5" t="s">
        <v>501</v>
      </c>
      <c r="J17" s="5" t="s">
        <v>74</v>
      </c>
    </row>
    <row r="18" spans="1:10" x14ac:dyDescent="0.25">
      <c r="A18" s="5">
        <v>13</v>
      </c>
      <c r="B18" s="5" t="s">
        <v>58</v>
      </c>
      <c r="C18" s="5" t="s">
        <v>365</v>
      </c>
      <c r="D18" s="5" t="s">
        <v>366</v>
      </c>
      <c r="E18" s="5" t="s">
        <v>299</v>
      </c>
      <c r="F18" s="5" t="s">
        <v>34</v>
      </c>
      <c r="G18" s="5" t="s">
        <v>105</v>
      </c>
      <c r="H18" s="5" t="s">
        <v>504</v>
      </c>
      <c r="I18" s="5" t="s">
        <v>494</v>
      </c>
      <c r="J18" s="5" t="s">
        <v>74</v>
      </c>
    </row>
    <row r="19" spans="1:10" x14ac:dyDescent="0.25">
      <c r="A19" s="5">
        <v>14</v>
      </c>
      <c r="B19" s="5" t="s">
        <v>58</v>
      </c>
      <c r="C19" s="5" t="s">
        <v>375</v>
      </c>
      <c r="D19" s="5" t="s">
        <v>339</v>
      </c>
      <c r="E19" s="5" t="s">
        <v>376</v>
      </c>
      <c r="F19" s="5" t="s">
        <v>35</v>
      </c>
      <c r="G19" s="5" t="s">
        <v>26</v>
      </c>
      <c r="H19" s="5" t="s">
        <v>506</v>
      </c>
      <c r="I19" s="5" t="s">
        <v>502</v>
      </c>
      <c r="J19" s="5" t="s">
        <v>74</v>
      </c>
    </row>
    <row r="20" spans="1:10" x14ac:dyDescent="0.25">
      <c r="A20" s="5">
        <v>15</v>
      </c>
      <c r="B20" s="5" t="s">
        <v>58</v>
      </c>
      <c r="C20" s="5" t="s">
        <v>397</v>
      </c>
      <c r="D20" s="5" t="s">
        <v>398</v>
      </c>
      <c r="E20" s="5" t="s">
        <v>376</v>
      </c>
      <c r="F20" s="5" t="s">
        <v>35</v>
      </c>
      <c r="G20" s="5" t="s">
        <v>26</v>
      </c>
      <c r="H20" s="5" t="s">
        <v>495</v>
      </c>
      <c r="I20" s="5" t="s">
        <v>501</v>
      </c>
      <c r="J20" s="5" t="s">
        <v>74</v>
      </c>
    </row>
    <row r="21" spans="1:10" x14ac:dyDescent="0.25">
      <c r="A21" s="5">
        <v>16</v>
      </c>
      <c r="B21" s="5" t="s">
        <v>58</v>
      </c>
      <c r="C21" s="5" t="s">
        <v>423</v>
      </c>
      <c r="D21" s="5" t="s">
        <v>424</v>
      </c>
      <c r="E21" s="5" t="s">
        <v>376</v>
      </c>
      <c r="F21" s="5" t="s">
        <v>35</v>
      </c>
      <c r="G21" s="5" t="s">
        <v>105</v>
      </c>
      <c r="H21" s="5" t="s">
        <v>497</v>
      </c>
      <c r="I21" s="5" t="s">
        <v>494</v>
      </c>
      <c r="J21" s="5" t="s">
        <v>74</v>
      </c>
    </row>
    <row r="22" spans="1:10" x14ac:dyDescent="0.25">
      <c r="A22" s="5">
        <v>17</v>
      </c>
      <c r="B22" s="5" t="s">
        <v>58</v>
      </c>
      <c r="C22" s="5" t="s">
        <v>437</v>
      </c>
      <c r="D22" s="5" t="s">
        <v>438</v>
      </c>
      <c r="E22" s="5" t="s">
        <v>432</v>
      </c>
      <c r="F22" s="5" t="s">
        <v>37</v>
      </c>
      <c r="G22" s="5" t="s">
        <v>105</v>
      </c>
      <c r="H22" s="5" t="s">
        <v>498</v>
      </c>
      <c r="I22" s="5" t="s">
        <v>494</v>
      </c>
      <c r="J22" s="5" t="s">
        <v>74</v>
      </c>
    </row>
    <row r="23" spans="1:10" x14ac:dyDescent="0.25">
      <c r="A23" s="5">
        <v>18</v>
      </c>
      <c r="B23" s="5" t="s">
        <v>58</v>
      </c>
      <c r="C23" s="5" t="s">
        <v>445</v>
      </c>
      <c r="D23" s="5" t="s">
        <v>446</v>
      </c>
      <c r="E23" s="5" t="s">
        <v>432</v>
      </c>
      <c r="F23" s="5" t="s">
        <v>37</v>
      </c>
      <c r="G23" s="5" t="s">
        <v>26</v>
      </c>
      <c r="H23" s="5" t="s">
        <v>495</v>
      </c>
      <c r="I23" s="5" t="s">
        <v>492</v>
      </c>
      <c r="J23" s="5" t="s">
        <v>74</v>
      </c>
    </row>
    <row r="24" spans="1:10" x14ac:dyDescent="0.25">
      <c r="A24" s="5">
        <v>19</v>
      </c>
      <c r="B24" s="5" t="s">
        <v>58</v>
      </c>
      <c r="C24" s="5" t="s">
        <v>449</v>
      </c>
      <c r="D24" s="5" t="s">
        <v>450</v>
      </c>
      <c r="E24" s="5" t="s">
        <v>432</v>
      </c>
      <c r="F24" s="5" t="s">
        <v>37</v>
      </c>
      <c r="G24" s="5" t="s">
        <v>26</v>
      </c>
      <c r="H24" s="5" t="s">
        <v>491</v>
      </c>
      <c r="I24" s="5" t="s">
        <v>500</v>
      </c>
      <c r="J24" s="5" t="s">
        <v>74</v>
      </c>
    </row>
    <row r="25" spans="1:10" x14ac:dyDescent="0.25">
      <c r="A25" s="5">
        <v>20</v>
      </c>
      <c r="B25" s="5" t="s">
        <v>58</v>
      </c>
      <c r="C25" s="5" t="s">
        <v>460</v>
      </c>
      <c r="D25" s="5" t="s">
        <v>273</v>
      </c>
      <c r="E25" s="5" t="s">
        <v>432</v>
      </c>
      <c r="F25" s="5" t="s">
        <v>37</v>
      </c>
      <c r="G25" s="5" t="s">
        <v>26</v>
      </c>
      <c r="H25" s="5" t="s">
        <v>491</v>
      </c>
      <c r="I25" s="5" t="s">
        <v>496</v>
      </c>
      <c r="J25" s="5" t="s">
        <v>74</v>
      </c>
    </row>
  </sheetData>
  <autoFilter ref="A5:J25"/>
  <mergeCells count="2">
    <mergeCell ref="A1:J1"/>
    <mergeCell ref="A2:J2"/>
  </mergeCells>
  <hyperlinks>
    <hyperlink ref="J6" r:id="rId1"/>
    <hyperlink ref="J7" r:id="rId2"/>
    <hyperlink ref="J8" r:id="rId3"/>
    <hyperlink ref="J9" r:id="rId4"/>
    <hyperlink ref="J10" r:id="rId5"/>
    <hyperlink ref="J11" r:id="rId6"/>
    <hyperlink ref="J12" r:id="rId7"/>
    <hyperlink ref="J13" r:id="rId8"/>
    <hyperlink ref="J14" r:id="rId9"/>
    <hyperlink ref="J15" r:id="rId10"/>
    <hyperlink ref="J17" r:id="rId11"/>
    <hyperlink ref="J18" r:id="rId12"/>
    <hyperlink ref="J19" r:id="rId13"/>
    <hyperlink ref="J20" r:id="rId14"/>
    <hyperlink ref="J21" r:id="rId15"/>
    <hyperlink ref="J22" r:id="rId16"/>
    <hyperlink ref="J23" r:id="rId17"/>
    <hyperlink ref="J24" r:id="rId18"/>
    <hyperlink ref="J25" r:id="rId19"/>
  </hyperlinks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FormatPr defaultRowHeight="15" outlineLevelRow="0" outlineLevelCol="0" x14ac:dyDescent="55"/>
  <cols>
    <col min="1" max="1" width="34" customWidth="1"/>
    <col min="2" max="2" width="14" customWidth="1"/>
    <col min="3" max="3" width="42" customWidth="1"/>
    <col min="4" max="5" width="22" customWidth="1"/>
    <col min="6" max="6" width="28" customWidth="1"/>
  </cols>
  <sheetData>
    <row r="1" spans="1:6" x14ac:dyDescent="0.25">
      <c r="A1" s="1" t="s">
        <v>507</v>
      </c>
      <c r="B1" s="1"/>
      <c r="C1" s="1"/>
      <c r="D1" s="1"/>
      <c r="E1" s="1"/>
      <c r="F1" s="1"/>
    </row>
    <row r="2" spans="1:6" x14ac:dyDescent="0.25">
      <c r="A2" s="2" t="s">
        <v>486</v>
      </c>
      <c r="B2" s="2"/>
      <c r="C2" s="2"/>
      <c r="D2" s="2"/>
      <c r="E2" s="2"/>
      <c r="F2" s="2"/>
    </row>
    <row r="3" spans="1:6" x14ac:dyDescent="0.25">
      <c r="A3" s="3"/>
      <c r="B3" s="3"/>
      <c r="C3" s="3"/>
      <c r="D3" s="3"/>
      <c r="E3" s="3"/>
      <c r="F3" s="3"/>
    </row>
    <row r="5" ht="30" customHeight="1" spans="1:6" x14ac:dyDescent="0.25">
      <c r="A5" s="4" t="s">
        <v>508</v>
      </c>
      <c r="B5" s="4" t="s">
        <v>509</v>
      </c>
      <c r="C5" s="4" t="s">
        <v>510</v>
      </c>
      <c r="D5" s="4" t="s">
        <v>30</v>
      </c>
      <c r="E5" s="4" t="s">
        <v>31</v>
      </c>
      <c r="F5" s="4" t="s">
        <v>511</v>
      </c>
    </row>
    <row r="6" spans="1:6" x14ac:dyDescent="0.25">
      <c r="A6" s="5" t="s">
        <v>86</v>
      </c>
      <c r="B6" s="5">
        <v>4</v>
      </c>
      <c r="C6" s="5" t="s">
        <v>512</v>
      </c>
      <c r="D6" s="5">
        <v>5.15</v>
      </c>
      <c r="E6" s="5">
        <v>5.41</v>
      </c>
      <c r="F6" s="5" t="s">
        <v>513</v>
      </c>
    </row>
    <row r="7" spans="1:6" x14ac:dyDescent="0.25">
      <c r="A7" s="5" t="s">
        <v>276</v>
      </c>
      <c r="B7" s="5">
        <v>8</v>
      </c>
      <c r="C7" s="5" t="s">
        <v>514</v>
      </c>
      <c r="D7" s="5">
        <v>4.8862499999999995</v>
      </c>
      <c r="E7" s="5">
        <v>5.36</v>
      </c>
      <c r="F7" s="5" t="s">
        <v>515</v>
      </c>
    </row>
    <row r="8" spans="1:6" x14ac:dyDescent="0.25">
      <c r="A8" s="5" t="s">
        <v>115</v>
      </c>
      <c r="B8" s="5">
        <v>13</v>
      </c>
      <c r="C8" s="5" t="s">
        <v>516</v>
      </c>
      <c r="D8" s="5">
        <v>7.216153846153846</v>
      </c>
      <c r="E8" s="5">
        <v>8.22</v>
      </c>
      <c r="F8" s="5" t="s">
        <v>513</v>
      </c>
    </row>
    <row r="9" spans="1:6" x14ac:dyDescent="0.25">
      <c r="A9" s="5" t="s">
        <v>79</v>
      </c>
      <c r="B9" s="5">
        <v>7</v>
      </c>
      <c r="C9" s="5" t="s">
        <v>516</v>
      </c>
      <c r="D9" s="5">
        <v>4.388571428571429</v>
      </c>
      <c r="E9" s="5">
        <v>5.18</v>
      </c>
      <c r="F9" s="5" t="s">
        <v>517</v>
      </c>
    </row>
    <row r="10" spans="1:6" x14ac:dyDescent="0.25">
      <c r="A10" s="5" t="s">
        <v>148</v>
      </c>
      <c r="B10" s="5">
        <v>7</v>
      </c>
      <c r="C10" s="5" t="s">
        <v>518</v>
      </c>
      <c r="D10" s="5">
        <v>4.417142857142857</v>
      </c>
      <c r="E10" s="5">
        <v>5.14</v>
      </c>
      <c r="F10" s="5" t="s">
        <v>519</v>
      </c>
    </row>
    <row r="11" spans="1:6" x14ac:dyDescent="0.25">
      <c r="A11" s="5" t="s">
        <v>120</v>
      </c>
      <c r="B11" s="5">
        <v>7</v>
      </c>
      <c r="C11" s="5" t="s">
        <v>516</v>
      </c>
      <c r="D11" s="5">
        <v>4.841428571428572</v>
      </c>
      <c r="E11" s="5">
        <v>5.59</v>
      </c>
      <c r="F11" s="5" t="s">
        <v>515</v>
      </c>
    </row>
    <row r="12" spans="1:6" x14ac:dyDescent="0.25">
      <c r="A12" s="5" t="s">
        <v>175</v>
      </c>
      <c r="B12" s="5">
        <v>6</v>
      </c>
      <c r="C12" s="5" t="s">
        <v>520</v>
      </c>
      <c r="D12" s="5">
        <v>5.081666666666667</v>
      </c>
      <c r="E12" s="5">
        <v>6.08</v>
      </c>
      <c r="F12" s="5" t="s">
        <v>521</v>
      </c>
    </row>
    <row r="13" spans="1:6" x14ac:dyDescent="0.25">
      <c r="A13" s="5" t="s">
        <v>136</v>
      </c>
      <c r="B13" s="5">
        <v>6</v>
      </c>
      <c r="C13" s="5" t="s">
        <v>522</v>
      </c>
      <c r="D13" s="5">
        <v>3.858333333333333</v>
      </c>
      <c r="E13" s="5">
        <v>4.81</v>
      </c>
      <c r="F13" s="5" t="s">
        <v>513</v>
      </c>
    </row>
    <row r="14" spans="1:6" x14ac:dyDescent="0.25">
      <c r="A14" s="5" t="s">
        <v>99</v>
      </c>
      <c r="B14" s="5">
        <v>11</v>
      </c>
      <c r="C14" s="5" t="s">
        <v>516</v>
      </c>
      <c r="D14" s="5">
        <v>4.205454545454545</v>
      </c>
      <c r="E14" s="5">
        <v>4.99</v>
      </c>
      <c r="F14" s="5" t="s">
        <v>517</v>
      </c>
    </row>
    <row r="15" spans="1:6" x14ac:dyDescent="0.25">
      <c r="A15" s="5" t="s">
        <v>68</v>
      </c>
      <c r="B15" s="5">
        <v>15</v>
      </c>
      <c r="C15" s="5" t="s">
        <v>516</v>
      </c>
      <c r="D15" s="5">
        <v>5.8373333333333335</v>
      </c>
      <c r="E15" s="5">
        <v>6.86</v>
      </c>
      <c r="F15" s="5" t="s">
        <v>523</v>
      </c>
    </row>
    <row r="16" spans="1:6" x14ac:dyDescent="0.25">
      <c r="A16" s="5" t="s">
        <v>128</v>
      </c>
      <c r="B16" s="5">
        <v>5</v>
      </c>
      <c r="C16" s="5" t="s">
        <v>518</v>
      </c>
      <c r="D16" s="5">
        <v>3.7399999999999998</v>
      </c>
      <c r="E16" s="5">
        <v>4.66</v>
      </c>
      <c r="F16" s="5" t="s">
        <v>524</v>
      </c>
    </row>
    <row r="17" spans="1:6" x14ac:dyDescent="0.25">
      <c r="A17" s="5" t="s">
        <v>231</v>
      </c>
      <c r="B17" s="5">
        <v>5</v>
      </c>
      <c r="C17" s="5" t="s">
        <v>525</v>
      </c>
      <c r="D17" s="5">
        <v>6.456</v>
      </c>
      <c r="E17" s="5">
        <v>6.72</v>
      </c>
      <c r="F17" s="5" t="s">
        <v>523</v>
      </c>
    </row>
  </sheetData>
  <mergeCells count="2">
    <mergeCell ref="A1:F1"/>
    <mergeCell ref="A2:F2"/>
  </mergeCells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9"/>
  <sheetFormatPr defaultRowHeight="15" outlineLevelRow="0" outlineLevelCol="0" x14ac:dyDescent="55"/>
  <cols>
    <col min="1" max="1" width="18" customWidth="1"/>
    <col min="2" max="2" width="28" customWidth="1"/>
    <col min="3" max="3" width="16" customWidth="1"/>
    <col min="4" max="4" width="32" customWidth="1"/>
    <col min="5" max="5" width="44" customWidth="1"/>
    <col min="6" max="6" width="16" customWidth="1"/>
  </cols>
  <sheetData>
    <row r="1" spans="1:6" x14ac:dyDescent="0.25">
      <c r="A1" s="1" t="s">
        <v>526</v>
      </c>
      <c r="B1" s="1"/>
      <c r="C1" s="1"/>
      <c r="D1" s="1"/>
      <c r="E1" s="1"/>
      <c r="F1" s="1"/>
    </row>
    <row r="2" spans="1:6" x14ac:dyDescent="0.25">
      <c r="A2" s="2" t="s">
        <v>527</v>
      </c>
      <c r="B2" s="2"/>
      <c r="C2" s="2"/>
      <c r="D2" s="2"/>
      <c r="E2" s="2"/>
      <c r="F2" s="2"/>
    </row>
    <row r="3" spans="1:6" x14ac:dyDescent="0.25">
      <c r="A3" s="3"/>
      <c r="B3" s="3"/>
      <c r="C3" s="3"/>
      <c r="D3" s="3"/>
      <c r="E3" s="3"/>
      <c r="F3" s="3"/>
    </row>
    <row r="5" ht="30" customHeight="1" spans="1:6" x14ac:dyDescent="0.25">
      <c r="A5" s="4" t="s">
        <v>42</v>
      </c>
      <c r="B5" s="4" t="s">
        <v>528</v>
      </c>
      <c r="C5" s="4" t="s">
        <v>22</v>
      </c>
      <c r="D5" s="4" t="s">
        <v>529</v>
      </c>
      <c r="E5" s="4" t="s">
        <v>490</v>
      </c>
      <c r="F5" s="4" t="s">
        <v>530</v>
      </c>
    </row>
    <row r="6" spans="1:6" x14ac:dyDescent="0.25">
      <c r="A6" s="5" t="s">
        <v>65</v>
      </c>
      <c r="B6" s="5" t="s">
        <v>66</v>
      </c>
      <c r="C6" s="5" t="s">
        <v>33</v>
      </c>
      <c r="D6" s="5" t="s">
        <v>531</v>
      </c>
      <c r="E6" s="5" t="s">
        <v>532</v>
      </c>
      <c r="F6" s="5" t="s">
        <v>533</v>
      </c>
    </row>
    <row r="7" spans="1:6" x14ac:dyDescent="0.25">
      <c r="A7" s="5" t="s">
        <v>77</v>
      </c>
      <c r="B7" s="5" t="s">
        <v>78</v>
      </c>
      <c r="C7" s="5" t="s">
        <v>33</v>
      </c>
      <c r="D7" s="5" t="s">
        <v>534</v>
      </c>
      <c r="E7" s="5" t="s">
        <v>535</v>
      </c>
      <c r="F7" s="5" t="s">
        <v>533</v>
      </c>
    </row>
    <row r="8" spans="1:6" x14ac:dyDescent="0.25">
      <c r="A8" s="5" t="s">
        <v>84</v>
      </c>
      <c r="B8" s="5" t="s">
        <v>85</v>
      </c>
      <c r="C8" s="5" t="s">
        <v>33</v>
      </c>
      <c r="D8" s="5" t="s">
        <v>536</v>
      </c>
      <c r="E8" s="5" t="s">
        <v>537</v>
      </c>
      <c r="F8" s="5" t="s">
        <v>533</v>
      </c>
    </row>
    <row r="9" spans="1:6" x14ac:dyDescent="0.25">
      <c r="A9" s="5" t="s">
        <v>91</v>
      </c>
      <c r="B9" s="5" t="s">
        <v>92</v>
      </c>
      <c r="C9" s="5" t="s">
        <v>33</v>
      </c>
      <c r="D9" s="5" t="s">
        <v>536</v>
      </c>
      <c r="E9" s="5" t="s">
        <v>538</v>
      </c>
      <c r="F9" s="5" t="s">
        <v>533</v>
      </c>
    </row>
    <row r="10" spans="1:6" x14ac:dyDescent="0.25">
      <c r="A10" s="5" t="s">
        <v>97</v>
      </c>
      <c r="B10" s="5" t="s">
        <v>98</v>
      </c>
      <c r="C10" s="5" t="s">
        <v>33</v>
      </c>
      <c r="D10" s="5" t="s">
        <v>539</v>
      </c>
      <c r="E10" s="5" t="s">
        <v>540</v>
      </c>
      <c r="F10" s="10" t="s">
        <v>541</v>
      </c>
    </row>
    <row r="11" spans="1:6" x14ac:dyDescent="0.25">
      <c r="A11" s="5" t="s">
        <v>113</v>
      </c>
      <c r="B11" s="5" t="s">
        <v>114</v>
      </c>
      <c r="C11" s="5" t="s">
        <v>33</v>
      </c>
      <c r="D11" s="5" t="s">
        <v>542</v>
      </c>
      <c r="E11" s="5" t="s">
        <v>543</v>
      </c>
      <c r="F11" s="5" t="s">
        <v>533</v>
      </c>
    </row>
    <row r="12" spans="1:6" x14ac:dyDescent="0.25">
      <c r="A12" s="5" t="s">
        <v>118</v>
      </c>
      <c r="B12" s="5" t="s">
        <v>119</v>
      </c>
      <c r="C12" s="5" t="s">
        <v>33</v>
      </c>
      <c r="D12" s="5" t="s">
        <v>544</v>
      </c>
      <c r="E12" s="5" t="s">
        <v>545</v>
      </c>
      <c r="F12" s="5" t="s">
        <v>533</v>
      </c>
    </row>
    <row r="13" spans="1:6" x14ac:dyDescent="0.25">
      <c r="A13" s="5" t="s">
        <v>126</v>
      </c>
      <c r="B13" s="5" t="s">
        <v>127</v>
      </c>
      <c r="C13" s="5" t="s">
        <v>33</v>
      </c>
      <c r="D13" s="5" t="s">
        <v>546</v>
      </c>
      <c r="E13" s="5" t="s">
        <v>540</v>
      </c>
      <c r="F13" s="10" t="s">
        <v>541</v>
      </c>
    </row>
    <row r="14" spans="1:6" x14ac:dyDescent="0.25">
      <c r="A14" s="5" t="s">
        <v>134</v>
      </c>
      <c r="B14" s="5" t="s">
        <v>135</v>
      </c>
      <c r="C14" s="5" t="s">
        <v>33</v>
      </c>
      <c r="D14" s="5" t="s">
        <v>547</v>
      </c>
      <c r="E14" s="5" t="s">
        <v>548</v>
      </c>
      <c r="F14" s="5" t="s">
        <v>533</v>
      </c>
    </row>
    <row r="15" spans="1:6" x14ac:dyDescent="0.25">
      <c r="A15" s="5" t="s">
        <v>140</v>
      </c>
      <c r="B15" s="5" t="s">
        <v>141</v>
      </c>
      <c r="C15" s="5" t="s">
        <v>33</v>
      </c>
      <c r="D15" s="5" t="s">
        <v>542</v>
      </c>
      <c r="E15" s="5" t="s">
        <v>549</v>
      </c>
      <c r="F15" s="5" t="s">
        <v>533</v>
      </c>
    </row>
    <row r="16" spans="1:6" x14ac:dyDescent="0.25">
      <c r="A16" s="5" t="s">
        <v>146</v>
      </c>
      <c r="B16" s="5" t="s">
        <v>147</v>
      </c>
      <c r="C16" s="5" t="s">
        <v>33</v>
      </c>
      <c r="D16" s="5" t="s">
        <v>550</v>
      </c>
      <c r="E16" s="5" t="s">
        <v>551</v>
      </c>
      <c r="F16" s="5" t="s">
        <v>533</v>
      </c>
    </row>
    <row r="17" spans="1:6" x14ac:dyDescent="0.25">
      <c r="A17" s="5" t="s">
        <v>152</v>
      </c>
      <c r="B17" s="5" t="s">
        <v>153</v>
      </c>
      <c r="C17" s="5" t="s">
        <v>33</v>
      </c>
      <c r="D17" s="5" t="s">
        <v>539</v>
      </c>
      <c r="E17" s="5" t="s">
        <v>540</v>
      </c>
      <c r="F17" s="10" t="s">
        <v>541</v>
      </c>
    </row>
    <row r="18" spans="1:6" x14ac:dyDescent="0.25">
      <c r="A18" s="5" t="s">
        <v>169</v>
      </c>
      <c r="B18" s="5" t="s">
        <v>170</v>
      </c>
      <c r="C18" s="5" t="s">
        <v>33</v>
      </c>
      <c r="D18" s="5" t="s">
        <v>547</v>
      </c>
      <c r="E18" s="5" t="s">
        <v>540</v>
      </c>
      <c r="F18" s="10" t="s">
        <v>541</v>
      </c>
    </row>
    <row r="19" spans="1:6" x14ac:dyDescent="0.25">
      <c r="A19" s="5" t="s">
        <v>173</v>
      </c>
      <c r="B19" s="5" t="s">
        <v>174</v>
      </c>
      <c r="C19" s="5" t="s">
        <v>33</v>
      </c>
      <c r="D19" s="5" t="s">
        <v>552</v>
      </c>
      <c r="E19" s="5" t="s">
        <v>553</v>
      </c>
      <c r="F19" s="5" t="s">
        <v>533</v>
      </c>
    </row>
    <row r="20" spans="1:6" x14ac:dyDescent="0.25">
      <c r="A20" s="5" t="s">
        <v>179</v>
      </c>
      <c r="B20" s="5" t="s">
        <v>180</v>
      </c>
      <c r="C20" s="5" t="s">
        <v>33</v>
      </c>
      <c r="D20" s="5" t="s">
        <v>547</v>
      </c>
      <c r="E20" s="5" t="s">
        <v>554</v>
      </c>
      <c r="F20" s="5" t="s">
        <v>533</v>
      </c>
    </row>
    <row r="21" spans="1:6" x14ac:dyDescent="0.25">
      <c r="A21" s="5" t="s">
        <v>186</v>
      </c>
      <c r="B21" s="5" t="s">
        <v>162</v>
      </c>
      <c r="C21" s="5" t="s">
        <v>33</v>
      </c>
      <c r="D21" s="5" t="s">
        <v>547</v>
      </c>
      <c r="E21" s="5" t="s">
        <v>555</v>
      </c>
      <c r="F21" s="5" t="s">
        <v>533</v>
      </c>
    </row>
    <row r="22" spans="1:6" x14ac:dyDescent="0.25">
      <c r="A22" s="5" t="s">
        <v>190</v>
      </c>
      <c r="B22" s="5" t="s">
        <v>191</v>
      </c>
      <c r="C22" s="5" t="s">
        <v>33</v>
      </c>
      <c r="D22" s="5" t="s">
        <v>552</v>
      </c>
      <c r="E22" s="5" t="s">
        <v>556</v>
      </c>
      <c r="F22" s="5" t="s">
        <v>533</v>
      </c>
    </row>
    <row r="23" spans="1:6" x14ac:dyDescent="0.25">
      <c r="A23" s="5" t="s">
        <v>195</v>
      </c>
      <c r="B23" s="5" t="s">
        <v>196</v>
      </c>
      <c r="C23" s="5" t="s">
        <v>33</v>
      </c>
      <c r="D23" s="5" t="s">
        <v>550</v>
      </c>
      <c r="E23" s="5" t="s">
        <v>557</v>
      </c>
      <c r="F23" s="5" t="s">
        <v>533</v>
      </c>
    </row>
    <row r="24" spans="1:6" x14ac:dyDescent="0.25">
      <c r="A24" s="5" t="s">
        <v>199</v>
      </c>
      <c r="B24" s="5" t="s">
        <v>200</v>
      </c>
      <c r="C24" s="5" t="s">
        <v>33</v>
      </c>
      <c r="D24" s="5" t="s">
        <v>550</v>
      </c>
      <c r="E24" s="5" t="s">
        <v>558</v>
      </c>
      <c r="F24" s="5" t="s">
        <v>533</v>
      </c>
    </row>
    <row r="25" spans="1:6" x14ac:dyDescent="0.25">
      <c r="A25" s="5" t="s">
        <v>204</v>
      </c>
      <c r="B25" s="5" t="s">
        <v>205</v>
      </c>
      <c r="C25" s="5" t="s">
        <v>33</v>
      </c>
      <c r="D25" s="5" t="s">
        <v>550</v>
      </c>
      <c r="E25" s="5" t="s">
        <v>559</v>
      </c>
      <c r="F25" s="5" t="s">
        <v>533</v>
      </c>
    </row>
    <row r="26" spans="1:6" x14ac:dyDescent="0.25">
      <c r="A26" s="5" t="s">
        <v>208</v>
      </c>
      <c r="B26" s="5" t="s">
        <v>209</v>
      </c>
      <c r="C26" s="5" t="s">
        <v>33</v>
      </c>
      <c r="D26" s="5" t="s">
        <v>550</v>
      </c>
      <c r="E26" s="5" t="s">
        <v>560</v>
      </c>
      <c r="F26" s="5" t="s">
        <v>533</v>
      </c>
    </row>
    <row r="27" spans="1:6" x14ac:dyDescent="0.25">
      <c r="A27" s="5" t="s">
        <v>211</v>
      </c>
      <c r="B27" s="5" t="s">
        <v>212</v>
      </c>
      <c r="C27" s="5" t="s">
        <v>33</v>
      </c>
      <c r="D27" s="5" t="s">
        <v>531</v>
      </c>
      <c r="E27" s="5" t="s">
        <v>561</v>
      </c>
      <c r="F27" s="5" t="s">
        <v>533</v>
      </c>
    </row>
    <row r="28" spans="1:6" x14ac:dyDescent="0.25">
      <c r="A28" s="5" t="s">
        <v>220</v>
      </c>
      <c r="B28" s="5" t="s">
        <v>221</v>
      </c>
      <c r="C28" s="5" t="s">
        <v>36</v>
      </c>
      <c r="D28" s="5" t="s">
        <v>547</v>
      </c>
      <c r="E28" s="5" t="s">
        <v>562</v>
      </c>
      <c r="F28" s="5" t="s">
        <v>533</v>
      </c>
    </row>
    <row r="29" spans="1:6" x14ac:dyDescent="0.25">
      <c r="A29" s="5" t="s">
        <v>227</v>
      </c>
      <c r="B29" s="5" t="s">
        <v>218</v>
      </c>
      <c r="C29" s="5" t="s">
        <v>36</v>
      </c>
      <c r="D29" s="5" t="s">
        <v>544</v>
      </c>
      <c r="E29" s="5" t="s">
        <v>563</v>
      </c>
      <c r="F29" s="5" t="s">
        <v>533</v>
      </c>
    </row>
    <row r="30" spans="1:6" x14ac:dyDescent="0.25">
      <c r="A30" s="5" t="s">
        <v>229</v>
      </c>
      <c r="B30" s="5" t="s">
        <v>230</v>
      </c>
      <c r="C30" s="5" t="s">
        <v>36</v>
      </c>
      <c r="D30" s="5" t="s">
        <v>564</v>
      </c>
      <c r="E30" s="5" t="s">
        <v>565</v>
      </c>
      <c r="F30" s="5" t="s">
        <v>533</v>
      </c>
    </row>
    <row r="31" spans="1:6" x14ac:dyDescent="0.25">
      <c r="A31" s="5" t="s">
        <v>234</v>
      </c>
      <c r="B31" s="5" t="s">
        <v>235</v>
      </c>
      <c r="C31" s="5" t="s">
        <v>36</v>
      </c>
      <c r="D31" s="5" t="s">
        <v>542</v>
      </c>
      <c r="E31" s="5" t="s">
        <v>566</v>
      </c>
      <c r="F31" s="5" t="s">
        <v>533</v>
      </c>
    </row>
    <row r="32" spans="1:6" x14ac:dyDescent="0.25">
      <c r="A32" s="5" t="s">
        <v>236</v>
      </c>
      <c r="B32" s="5" t="s">
        <v>237</v>
      </c>
      <c r="C32" s="5" t="s">
        <v>36</v>
      </c>
      <c r="D32" s="5" t="s">
        <v>534</v>
      </c>
      <c r="E32" s="5" t="s">
        <v>567</v>
      </c>
      <c r="F32" s="5" t="s">
        <v>533</v>
      </c>
    </row>
    <row r="33" spans="1:6" x14ac:dyDescent="0.25">
      <c r="A33" s="5" t="s">
        <v>247</v>
      </c>
      <c r="B33" s="5" t="s">
        <v>248</v>
      </c>
      <c r="C33" s="5" t="s">
        <v>36</v>
      </c>
      <c r="D33" s="5" t="s">
        <v>531</v>
      </c>
      <c r="E33" s="5" t="s">
        <v>568</v>
      </c>
      <c r="F33" s="5" t="s">
        <v>533</v>
      </c>
    </row>
    <row r="34" spans="1:6" x14ac:dyDescent="0.25">
      <c r="A34" s="5" t="s">
        <v>252</v>
      </c>
      <c r="B34" s="5" t="s">
        <v>253</v>
      </c>
      <c r="C34" s="5" t="s">
        <v>36</v>
      </c>
      <c r="D34" s="5" t="s">
        <v>564</v>
      </c>
      <c r="E34" s="5" t="s">
        <v>540</v>
      </c>
      <c r="F34" s="10" t="s">
        <v>541</v>
      </c>
    </row>
    <row r="35" spans="1:6" x14ac:dyDescent="0.25">
      <c r="A35" s="5" t="s">
        <v>256</v>
      </c>
      <c r="B35" s="5" t="s">
        <v>257</v>
      </c>
      <c r="C35" s="5" t="s">
        <v>36</v>
      </c>
      <c r="D35" s="5" t="s">
        <v>539</v>
      </c>
      <c r="E35" s="5" t="s">
        <v>569</v>
      </c>
      <c r="F35" s="5" t="s">
        <v>533</v>
      </c>
    </row>
    <row r="36" spans="1:6" x14ac:dyDescent="0.25">
      <c r="A36" s="5" t="s">
        <v>260</v>
      </c>
      <c r="B36" s="5" t="s">
        <v>261</v>
      </c>
      <c r="C36" s="5" t="s">
        <v>36</v>
      </c>
      <c r="D36" s="5" t="s">
        <v>531</v>
      </c>
      <c r="E36" s="5" t="s">
        <v>570</v>
      </c>
      <c r="F36" s="5" t="s">
        <v>533</v>
      </c>
    </row>
    <row r="37" spans="1:6" x14ac:dyDescent="0.25">
      <c r="A37" s="5" t="s">
        <v>268</v>
      </c>
      <c r="B37" s="5" t="s">
        <v>218</v>
      </c>
      <c r="C37" s="5" t="s">
        <v>36</v>
      </c>
      <c r="D37" s="5" t="s">
        <v>539</v>
      </c>
      <c r="E37" s="5" t="s">
        <v>571</v>
      </c>
      <c r="F37" s="5" t="s">
        <v>533</v>
      </c>
    </row>
    <row r="38" spans="1:6" x14ac:dyDescent="0.25">
      <c r="A38" s="5" t="s">
        <v>274</v>
      </c>
      <c r="B38" s="5" t="s">
        <v>275</v>
      </c>
      <c r="C38" s="5" t="s">
        <v>36</v>
      </c>
      <c r="D38" s="5" t="s">
        <v>572</v>
      </c>
      <c r="E38" s="5" t="s">
        <v>573</v>
      </c>
      <c r="F38" s="5" t="s">
        <v>533</v>
      </c>
    </row>
    <row r="39" spans="1:6" x14ac:dyDescent="0.25">
      <c r="A39" s="5" t="s">
        <v>280</v>
      </c>
      <c r="B39" s="5" t="s">
        <v>281</v>
      </c>
      <c r="C39" s="5" t="s">
        <v>36</v>
      </c>
      <c r="D39" s="5" t="s">
        <v>539</v>
      </c>
      <c r="E39" s="5" t="s">
        <v>574</v>
      </c>
      <c r="F39" s="5" t="s">
        <v>533</v>
      </c>
    </row>
    <row r="40" spans="1:6" x14ac:dyDescent="0.25">
      <c r="A40" s="5" t="s">
        <v>284</v>
      </c>
      <c r="B40" s="5" t="s">
        <v>285</v>
      </c>
      <c r="C40" s="5" t="s">
        <v>36</v>
      </c>
      <c r="D40" s="5" t="s">
        <v>547</v>
      </c>
      <c r="E40" s="5" t="s">
        <v>575</v>
      </c>
      <c r="F40" s="5" t="s">
        <v>533</v>
      </c>
    </row>
    <row r="41" spans="1:6" x14ac:dyDescent="0.25">
      <c r="A41" s="5" t="s">
        <v>286</v>
      </c>
      <c r="B41" s="5" t="s">
        <v>287</v>
      </c>
      <c r="C41" s="5" t="s">
        <v>36</v>
      </c>
      <c r="D41" s="5" t="s">
        <v>542</v>
      </c>
      <c r="E41" s="5" t="s">
        <v>576</v>
      </c>
      <c r="F41" s="5" t="s">
        <v>533</v>
      </c>
    </row>
    <row r="42" spans="1:6" x14ac:dyDescent="0.25">
      <c r="A42" s="5" t="s">
        <v>290</v>
      </c>
      <c r="B42" s="5" t="s">
        <v>291</v>
      </c>
      <c r="C42" s="5" t="s">
        <v>36</v>
      </c>
      <c r="D42" s="5" t="s">
        <v>536</v>
      </c>
      <c r="E42" s="5" t="s">
        <v>577</v>
      </c>
      <c r="F42" s="5" t="s">
        <v>533</v>
      </c>
    </row>
    <row r="43" spans="1:6" x14ac:dyDescent="0.25">
      <c r="A43" s="5" t="s">
        <v>294</v>
      </c>
      <c r="B43" s="5" t="s">
        <v>295</v>
      </c>
      <c r="C43" s="5" t="s">
        <v>36</v>
      </c>
      <c r="D43" s="5" t="s">
        <v>542</v>
      </c>
      <c r="E43" s="5" t="s">
        <v>578</v>
      </c>
      <c r="F43" s="5" t="s">
        <v>533</v>
      </c>
    </row>
    <row r="44" spans="1:6" x14ac:dyDescent="0.25">
      <c r="A44" s="5" t="s">
        <v>297</v>
      </c>
      <c r="B44" s="5" t="s">
        <v>298</v>
      </c>
      <c r="C44" s="5" t="s">
        <v>34</v>
      </c>
      <c r="D44" s="5" t="s">
        <v>531</v>
      </c>
      <c r="E44" s="5" t="s">
        <v>579</v>
      </c>
      <c r="F44" s="5" t="s">
        <v>533</v>
      </c>
    </row>
    <row r="45" spans="1:6" x14ac:dyDescent="0.25">
      <c r="A45" s="5" t="s">
        <v>300</v>
      </c>
      <c r="B45" s="5" t="s">
        <v>301</v>
      </c>
      <c r="C45" s="5" t="s">
        <v>34</v>
      </c>
      <c r="D45" s="5" t="s">
        <v>572</v>
      </c>
      <c r="E45" s="5" t="s">
        <v>580</v>
      </c>
      <c r="F45" s="5" t="s">
        <v>533</v>
      </c>
    </row>
    <row r="46" spans="1:6" x14ac:dyDescent="0.25">
      <c r="A46" s="5" t="s">
        <v>303</v>
      </c>
      <c r="B46" s="5" t="s">
        <v>304</v>
      </c>
      <c r="C46" s="5" t="s">
        <v>34</v>
      </c>
      <c r="D46" s="5" t="s">
        <v>531</v>
      </c>
      <c r="E46" s="5" t="s">
        <v>540</v>
      </c>
      <c r="F46" s="10" t="s">
        <v>541</v>
      </c>
    </row>
    <row r="47" spans="1:6" x14ac:dyDescent="0.25">
      <c r="A47" s="5" t="s">
        <v>309</v>
      </c>
      <c r="B47" s="5" t="s">
        <v>310</v>
      </c>
      <c r="C47" s="5" t="s">
        <v>34</v>
      </c>
      <c r="D47" s="5" t="s">
        <v>572</v>
      </c>
      <c r="E47" s="5" t="s">
        <v>581</v>
      </c>
      <c r="F47" s="5" t="s">
        <v>533</v>
      </c>
    </row>
    <row r="48" spans="1:6" x14ac:dyDescent="0.25">
      <c r="A48" s="5" t="s">
        <v>312</v>
      </c>
      <c r="B48" s="5" t="s">
        <v>313</v>
      </c>
      <c r="C48" s="5" t="s">
        <v>34</v>
      </c>
      <c r="D48" s="5" t="s">
        <v>546</v>
      </c>
      <c r="E48" s="5" t="s">
        <v>582</v>
      </c>
      <c r="F48" s="5" t="s">
        <v>533</v>
      </c>
    </row>
    <row r="49" spans="1:6" x14ac:dyDescent="0.25">
      <c r="A49" s="5" t="s">
        <v>316</v>
      </c>
      <c r="B49" s="5" t="s">
        <v>317</v>
      </c>
      <c r="C49" s="5" t="s">
        <v>34</v>
      </c>
      <c r="D49" s="5" t="s">
        <v>539</v>
      </c>
      <c r="E49" s="5" t="s">
        <v>583</v>
      </c>
      <c r="F49" s="5" t="s">
        <v>533</v>
      </c>
    </row>
    <row r="50" spans="1:6" x14ac:dyDescent="0.25">
      <c r="A50" s="5" t="s">
        <v>319</v>
      </c>
      <c r="B50" s="5" t="s">
        <v>320</v>
      </c>
      <c r="C50" s="5" t="s">
        <v>34</v>
      </c>
      <c r="D50" s="5" t="s">
        <v>531</v>
      </c>
      <c r="E50" s="5" t="s">
        <v>584</v>
      </c>
      <c r="F50" s="5" t="s">
        <v>533</v>
      </c>
    </row>
    <row r="51" spans="1:6" x14ac:dyDescent="0.25">
      <c r="A51" s="5" t="s">
        <v>324</v>
      </c>
      <c r="B51" s="5" t="s">
        <v>110</v>
      </c>
      <c r="C51" s="5" t="s">
        <v>34</v>
      </c>
      <c r="D51" s="5" t="s">
        <v>531</v>
      </c>
      <c r="E51" s="5" t="s">
        <v>585</v>
      </c>
      <c r="F51" s="5" t="s">
        <v>533</v>
      </c>
    </row>
    <row r="52" spans="1:6" x14ac:dyDescent="0.25">
      <c r="A52" s="5" t="s">
        <v>327</v>
      </c>
      <c r="B52" s="5" t="s">
        <v>328</v>
      </c>
      <c r="C52" s="5" t="s">
        <v>34</v>
      </c>
      <c r="D52" s="5" t="s">
        <v>550</v>
      </c>
      <c r="E52" s="5" t="s">
        <v>586</v>
      </c>
      <c r="F52" s="5" t="s">
        <v>533</v>
      </c>
    </row>
    <row r="53" spans="1:6" x14ac:dyDescent="0.25">
      <c r="A53" s="5" t="s">
        <v>331</v>
      </c>
      <c r="B53" s="5" t="s">
        <v>332</v>
      </c>
      <c r="C53" s="5" t="s">
        <v>34</v>
      </c>
      <c r="D53" s="5" t="s">
        <v>564</v>
      </c>
      <c r="E53" s="5" t="s">
        <v>587</v>
      </c>
      <c r="F53" s="5" t="s">
        <v>533</v>
      </c>
    </row>
    <row r="54" spans="1:6" x14ac:dyDescent="0.25">
      <c r="A54" s="5" t="s">
        <v>335</v>
      </c>
      <c r="B54" s="5" t="s">
        <v>336</v>
      </c>
      <c r="C54" s="5" t="s">
        <v>34</v>
      </c>
      <c r="D54" s="5" t="s">
        <v>531</v>
      </c>
      <c r="E54" s="5" t="s">
        <v>588</v>
      </c>
      <c r="F54" s="5" t="s">
        <v>533</v>
      </c>
    </row>
    <row r="55" spans="1:6" x14ac:dyDescent="0.25">
      <c r="A55" s="5" t="s">
        <v>340</v>
      </c>
      <c r="B55" s="5" t="s">
        <v>313</v>
      </c>
      <c r="C55" s="5" t="s">
        <v>34</v>
      </c>
      <c r="D55" s="5" t="s">
        <v>531</v>
      </c>
      <c r="E55" s="5" t="s">
        <v>589</v>
      </c>
      <c r="F55" s="5" t="s">
        <v>533</v>
      </c>
    </row>
    <row r="56" spans="1:6" x14ac:dyDescent="0.25">
      <c r="A56" s="5" t="s">
        <v>342</v>
      </c>
      <c r="B56" s="5" t="s">
        <v>343</v>
      </c>
      <c r="C56" s="5" t="s">
        <v>34</v>
      </c>
      <c r="D56" s="5" t="s">
        <v>536</v>
      </c>
      <c r="E56" s="5" t="s">
        <v>590</v>
      </c>
      <c r="F56" s="5" t="s">
        <v>533</v>
      </c>
    </row>
    <row r="57" spans="1:6" x14ac:dyDescent="0.25">
      <c r="A57" s="5" t="s">
        <v>345</v>
      </c>
      <c r="B57" s="5" t="s">
        <v>346</v>
      </c>
      <c r="C57" s="5" t="s">
        <v>34</v>
      </c>
      <c r="D57" s="5" t="s">
        <v>534</v>
      </c>
      <c r="E57" s="5" t="s">
        <v>591</v>
      </c>
      <c r="F57" s="5" t="s">
        <v>533</v>
      </c>
    </row>
    <row r="58" spans="1:6" x14ac:dyDescent="0.25">
      <c r="A58" s="5" t="s">
        <v>347</v>
      </c>
      <c r="B58" s="5" t="s">
        <v>348</v>
      </c>
      <c r="C58" s="5" t="s">
        <v>34</v>
      </c>
      <c r="D58" s="5" t="s">
        <v>542</v>
      </c>
      <c r="E58" s="5" t="s">
        <v>540</v>
      </c>
      <c r="F58" s="10" t="s">
        <v>541</v>
      </c>
    </row>
    <row r="59" spans="1:6" x14ac:dyDescent="0.25">
      <c r="A59" s="5" t="s">
        <v>350</v>
      </c>
      <c r="B59" s="5" t="s">
        <v>351</v>
      </c>
      <c r="C59" s="5" t="s">
        <v>34</v>
      </c>
      <c r="D59" s="5" t="s">
        <v>544</v>
      </c>
      <c r="E59" s="5" t="s">
        <v>592</v>
      </c>
      <c r="F59" s="5" t="s">
        <v>533</v>
      </c>
    </row>
    <row r="60" spans="1:6" x14ac:dyDescent="0.25">
      <c r="A60" s="5" t="s">
        <v>356</v>
      </c>
      <c r="B60" s="5" t="s">
        <v>357</v>
      </c>
      <c r="C60" s="5" t="s">
        <v>34</v>
      </c>
      <c r="D60" s="5" t="s">
        <v>539</v>
      </c>
      <c r="E60" s="5" t="s">
        <v>593</v>
      </c>
      <c r="F60" s="5" t="s">
        <v>533</v>
      </c>
    </row>
    <row r="61" spans="1:6" x14ac:dyDescent="0.25">
      <c r="A61" s="5" t="s">
        <v>359</v>
      </c>
      <c r="B61" s="5" t="s">
        <v>360</v>
      </c>
      <c r="C61" s="5" t="s">
        <v>34</v>
      </c>
      <c r="D61" s="5" t="s">
        <v>534</v>
      </c>
      <c r="E61" s="5" t="s">
        <v>594</v>
      </c>
      <c r="F61" s="5" t="s">
        <v>533</v>
      </c>
    </row>
    <row r="62" spans="1:6" x14ac:dyDescent="0.25">
      <c r="A62" s="5" t="s">
        <v>362</v>
      </c>
      <c r="B62" s="5" t="s">
        <v>363</v>
      </c>
      <c r="C62" s="5" t="s">
        <v>34</v>
      </c>
      <c r="D62" s="5" t="s">
        <v>564</v>
      </c>
      <c r="E62" s="5" t="s">
        <v>595</v>
      </c>
      <c r="F62" s="5" t="s">
        <v>533</v>
      </c>
    </row>
    <row r="63" spans="1:6" x14ac:dyDescent="0.25">
      <c r="A63" s="5" t="s">
        <v>364</v>
      </c>
      <c r="B63" s="5" t="s">
        <v>355</v>
      </c>
      <c r="C63" s="5" t="s">
        <v>34</v>
      </c>
      <c r="D63" s="5" t="s">
        <v>572</v>
      </c>
      <c r="E63" s="5" t="s">
        <v>596</v>
      </c>
      <c r="F63" s="5" t="s">
        <v>533</v>
      </c>
    </row>
    <row r="64" spans="1:6" x14ac:dyDescent="0.25">
      <c r="A64" s="5" t="s">
        <v>369</v>
      </c>
      <c r="B64" s="5" t="s">
        <v>185</v>
      </c>
      <c r="C64" s="5" t="s">
        <v>34</v>
      </c>
      <c r="D64" s="5" t="s">
        <v>542</v>
      </c>
      <c r="E64" s="5" t="s">
        <v>597</v>
      </c>
      <c r="F64" s="5" t="s">
        <v>533</v>
      </c>
    </row>
    <row r="65" spans="1:6" x14ac:dyDescent="0.25">
      <c r="A65" s="5" t="s">
        <v>371</v>
      </c>
      <c r="B65" s="5" t="s">
        <v>343</v>
      </c>
      <c r="C65" s="5" t="s">
        <v>34</v>
      </c>
      <c r="D65" s="5" t="s">
        <v>544</v>
      </c>
      <c r="E65" s="5" t="s">
        <v>598</v>
      </c>
      <c r="F65" s="5" t="s">
        <v>533</v>
      </c>
    </row>
    <row r="66" spans="1:6" x14ac:dyDescent="0.25">
      <c r="A66" s="5" t="s">
        <v>372</v>
      </c>
      <c r="B66" s="5" t="s">
        <v>373</v>
      </c>
      <c r="C66" s="5" t="s">
        <v>34</v>
      </c>
      <c r="D66" s="5" t="s">
        <v>552</v>
      </c>
      <c r="E66" s="5" t="s">
        <v>599</v>
      </c>
      <c r="F66" s="5" t="s">
        <v>533</v>
      </c>
    </row>
    <row r="67" spans="1:6" x14ac:dyDescent="0.25">
      <c r="A67" s="5" t="s">
        <v>379</v>
      </c>
      <c r="B67" s="5" t="s">
        <v>380</v>
      </c>
      <c r="C67" s="5" t="s">
        <v>35</v>
      </c>
      <c r="D67" s="5" t="s">
        <v>550</v>
      </c>
      <c r="E67" s="5" t="s">
        <v>600</v>
      </c>
      <c r="F67" s="5" t="s">
        <v>533</v>
      </c>
    </row>
    <row r="68" spans="1:6" x14ac:dyDescent="0.25">
      <c r="A68" s="5" t="s">
        <v>382</v>
      </c>
      <c r="B68" s="5" t="s">
        <v>174</v>
      </c>
      <c r="C68" s="5" t="s">
        <v>35</v>
      </c>
      <c r="D68" s="5" t="s">
        <v>534</v>
      </c>
      <c r="E68" s="5" t="s">
        <v>601</v>
      </c>
      <c r="F68" s="5" t="s">
        <v>533</v>
      </c>
    </row>
    <row r="69" spans="1:6" x14ac:dyDescent="0.25">
      <c r="A69" s="5" t="s">
        <v>385</v>
      </c>
      <c r="B69" s="5" t="s">
        <v>386</v>
      </c>
      <c r="C69" s="5" t="s">
        <v>35</v>
      </c>
      <c r="D69" s="5" t="s">
        <v>539</v>
      </c>
      <c r="E69" s="5" t="s">
        <v>602</v>
      </c>
      <c r="F69" s="5" t="s">
        <v>533</v>
      </c>
    </row>
    <row r="70" spans="1:6" x14ac:dyDescent="0.25">
      <c r="A70" s="5" t="s">
        <v>388</v>
      </c>
      <c r="B70" s="5" t="s">
        <v>389</v>
      </c>
      <c r="C70" s="5" t="s">
        <v>35</v>
      </c>
      <c r="D70" s="5" t="s">
        <v>564</v>
      </c>
      <c r="E70" s="5" t="s">
        <v>603</v>
      </c>
      <c r="F70" s="5" t="s">
        <v>533</v>
      </c>
    </row>
    <row r="71" spans="1:6" x14ac:dyDescent="0.25">
      <c r="A71" s="5" t="s">
        <v>391</v>
      </c>
      <c r="B71" s="5" t="s">
        <v>246</v>
      </c>
      <c r="C71" s="5" t="s">
        <v>35</v>
      </c>
      <c r="D71" s="5" t="s">
        <v>531</v>
      </c>
      <c r="E71" s="5" t="s">
        <v>604</v>
      </c>
      <c r="F71" s="5" t="s">
        <v>533</v>
      </c>
    </row>
    <row r="72" spans="1:6" x14ac:dyDescent="0.25">
      <c r="A72" s="5" t="s">
        <v>394</v>
      </c>
      <c r="B72" s="5" t="s">
        <v>395</v>
      </c>
      <c r="C72" s="5" t="s">
        <v>35</v>
      </c>
      <c r="D72" s="5" t="s">
        <v>572</v>
      </c>
      <c r="E72" s="5" t="s">
        <v>605</v>
      </c>
      <c r="F72" s="5" t="s">
        <v>533</v>
      </c>
    </row>
    <row r="73" spans="1:6" x14ac:dyDescent="0.25">
      <c r="A73" s="5" t="s">
        <v>399</v>
      </c>
      <c r="B73" s="5" t="s">
        <v>336</v>
      </c>
      <c r="C73" s="5" t="s">
        <v>35</v>
      </c>
      <c r="D73" s="5" t="s">
        <v>542</v>
      </c>
      <c r="E73" s="5" t="s">
        <v>540</v>
      </c>
      <c r="F73" s="10" t="s">
        <v>541</v>
      </c>
    </row>
    <row r="74" spans="1:6" x14ac:dyDescent="0.25">
      <c r="A74" s="5" t="s">
        <v>401</v>
      </c>
      <c r="B74" s="5" t="s">
        <v>402</v>
      </c>
      <c r="C74" s="5" t="s">
        <v>35</v>
      </c>
      <c r="D74" s="5" t="s">
        <v>544</v>
      </c>
      <c r="E74" s="5" t="s">
        <v>606</v>
      </c>
      <c r="F74" s="5" t="s">
        <v>533</v>
      </c>
    </row>
    <row r="75" spans="1:6" x14ac:dyDescent="0.25">
      <c r="A75" s="5" t="s">
        <v>406</v>
      </c>
      <c r="B75" s="5" t="s">
        <v>407</v>
      </c>
      <c r="C75" s="5" t="s">
        <v>35</v>
      </c>
      <c r="D75" s="5" t="s">
        <v>539</v>
      </c>
      <c r="E75" s="5" t="s">
        <v>607</v>
      </c>
      <c r="F75" s="5" t="s">
        <v>533</v>
      </c>
    </row>
    <row r="76" spans="1:6" x14ac:dyDescent="0.25">
      <c r="A76" s="5" t="s">
        <v>409</v>
      </c>
      <c r="B76" s="5" t="s">
        <v>410</v>
      </c>
      <c r="C76" s="5" t="s">
        <v>35</v>
      </c>
      <c r="D76" s="5" t="s">
        <v>531</v>
      </c>
      <c r="E76" s="5" t="s">
        <v>608</v>
      </c>
      <c r="F76" s="5" t="s">
        <v>533</v>
      </c>
    </row>
    <row r="77" spans="1:6" x14ac:dyDescent="0.25">
      <c r="A77" s="5" t="s">
        <v>414</v>
      </c>
      <c r="B77" s="5" t="s">
        <v>380</v>
      </c>
      <c r="C77" s="5" t="s">
        <v>35</v>
      </c>
      <c r="D77" s="5" t="s">
        <v>546</v>
      </c>
      <c r="E77" s="5" t="s">
        <v>609</v>
      </c>
      <c r="F77" s="5" t="s">
        <v>533</v>
      </c>
    </row>
    <row r="78" spans="1:6" x14ac:dyDescent="0.25">
      <c r="A78" s="5" t="s">
        <v>416</v>
      </c>
      <c r="B78" s="5" t="s">
        <v>417</v>
      </c>
      <c r="C78" s="5" t="s">
        <v>35</v>
      </c>
      <c r="D78" s="5" t="s">
        <v>542</v>
      </c>
      <c r="E78" s="5" t="s">
        <v>610</v>
      </c>
      <c r="F78" s="5" t="s">
        <v>533</v>
      </c>
    </row>
    <row r="79" spans="1:6" x14ac:dyDescent="0.25">
      <c r="A79" s="5" t="s">
        <v>418</v>
      </c>
      <c r="B79" s="5" t="s">
        <v>419</v>
      </c>
      <c r="C79" s="5" t="s">
        <v>35</v>
      </c>
      <c r="D79" s="5" t="s">
        <v>539</v>
      </c>
      <c r="E79" s="5" t="s">
        <v>540</v>
      </c>
      <c r="F79" s="10" t="s">
        <v>541</v>
      </c>
    </row>
    <row r="80" spans="1:6" x14ac:dyDescent="0.25">
      <c r="A80" s="5" t="s">
        <v>421</v>
      </c>
      <c r="B80" s="5" t="s">
        <v>422</v>
      </c>
      <c r="C80" s="5" t="s">
        <v>35</v>
      </c>
      <c r="D80" s="5" t="s">
        <v>546</v>
      </c>
      <c r="E80" s="5" t="s">
        <v>611</v>
      </c>
      <c r="F80" s="5" t="s">
        <v>533</v>
      </c>
    </row>
    <row r="81" spans="1:6" x14ac:dyDescent="0.25">
      <c r="A81" s="5" t="s">
        <v>425</v>
      </c>
      <c r="B81" s="5" t="s">
        <v>226</v>
      </c>
      <c r="C81" s="5" t="s">
        <v>35</v>
      </c>
      <c r="D81" s="5" t="s">
        <v>542</v>
      </c>
      <c r="E81" s="5" t="s">
        <v>612</v>
      </c>
      <c r="F81" s="5" t="s">
        <v>533</v>
      </c>
    </row>
    <row r="82" spans="1:6" x14ac:dyDescent="0.25">
      <c r="A82" s="5" t="s">
        <v>427</v>
      </c>
      <c r="B82" s="5" t="s">
        <v>428</v>
      </c>
      <c r="C82" s="5" t="s">
        <v>35</v>
      </c>
      <c r="D82" s="5" t="s">
        <v>546</v>
      </c>
      <c r="E82" s="5" t="s">
        <v>613</v>
      </c>
      <c r="F82" s="5" t="s">
        <v>533</v>
      </c>
    </row>
    <row r="83" spans="1:6" x14ac:dyDescent="0.25">
      <c r="A83" s="5" t="s">
        <v>430</v>
      </c>
      <c r="B83" s="5" t="s">
        <v>431</v>
      </c>
      <c r="C83" s="5" t="s">
        <v>37</v>
      </c>
      <c r="D83" s="5" t="s">
        <v>572</v>
      </c>
      <c r="E83" s="5" t="s">
        <v>614</v>
      </c>
      <c r="F83" s="5" t="s">
        <v>533</v>
      </c>
    </row>
    <row r="84" spans="1:6" x14ac:dyDescent="0.25">
      <c r="A84" s="5" t="s">
        <v>434</v>
      </c>
      <c r="B84" s="5" t="s">
        <v>435</v>
      </c>
      <c r="C84" s="5" t="s">
        <v>37</v>
      </c>
      <c r="D84" s="5" t="s">
        <v>542</v>
      </c>
      <c r="E84" s="5" t="s">
        <v>615</v>
      </c>
      <c r="F84" s="5" t="s">
        <v>533</v>
      </c>
    </row>
    <row r="85" spans="1:6" x14ac:dyDescent="0.25">
      <c r="A85" s="5" t="s">
        <v>439</v>
      </c>
      <c r="B85" s="5" t="s">
        <v>440</v>
      </c>
      <c r="C85" s="5" t="s">
        <v>37</v>
      </c>
      <c r="D85" s="5" t="s">
        <v>544</v>
      </c>
      <c r="E85" s="5" t="s">
        <v>540</v>
      </c>
      <c r="F85" s="10" t="s">
        <v>541</v>
      </c>
    </row>
    <row r="86" spans="1:6" x14ac:dyDescent="0.25">
      <c r="A86" s="5" t="s">
        <v>441</v>
      </c>
      <c r="B86" s="5" t="s">
        <v>442</v>
      </c>
      <c r="C86" s="5" t="s">
        <v>37</v>
      </c>
      <c r="D86" s="5" t="s">
        <v>531</v>
      </c>
      <c r="E86" s="5" t="s">
        <v>616</v>
      </c>
      <c r="F86" s="5" t="s">
        <v>533</v>
      </c>
    </row>
    <row r="87" spans="1:6" x14ac:dyDescent="0.25">
      <c r="A87" s="5" t="s">
        <v>451</v>
      </c>
      <c r="B87" s="5" t="s">
        <v>378</v>
      </c>
      <c r="C87" s="5" t="s">
        <v>37</v>
      </c>
      <c r="D87" s="5" t="s">
        <v>531</v>
      </c>
      <c r="E87" s="5" t="s">
        <v>617</v>
      </c>
      <c r="F87" s="5" t="s">
        <v>533</v>
      </c>
    </row>
    <row r="88" spans="1:6" x14ac:dyDescent="0.25">
      <c r="A88" s="5" t="s">
        <v>454</v>
      </c>
      <c r="B88" s="5" t="s">
        <v>353</v>
      </c>
      <c r="C88" s="5" t="s">
        <v>37</v>
      </c>
      <c r="D88" s="5" t="s">
        <v>552</v>
      </c>
      <c r="E88" s="5" t="s">
        <v>618</v>
      </c>
      <c r="F88" s="5" t="s">
        <v>533</v>
      </c>
    </row>
    <row r="89" spans="1:6" x14ac:dyDescent="0.25">
      <c r="A89" s="5" t="s">
        <v>457</v>
      </c>
      <c r="B89" s="5" t="s">
        <v>458</v>
      </c>
      <c r="C89" s="5" t="s">
        <v>37</v>
      </c>
      <c r="D89" s="5" t="s">
        <v>544</v>
      </c>
      <c r="E89" s="5" t="s">
        <v>619</v>
      </c>
      <c r="F89" s="5" t="s">
        <v>533</v>
      </c>
    </row>
    <row r="90" spans="1:6" x14ac:dyDescent="0.25">
      <c r="A90" s="5" t="s">
        <v>461</v>
      </c>
      <c r="B90" s="5" t="s">
        <v>462</v>
      </c>
      <c r="C90" s="5" t="s">
        <v>37</v>
      </c>
      <c r="D90" s="5" t="s">
        <v>534</v>
      </c>
      <c r="E90" s="5" t="s">
        <v>620</v>
      </c>
      <c r="F90" s="5" t="s">
        <v>533</v>
      </c>
    </row>
    <row r="91" spans="1:6" x14ac:dyDescent="0.25">
      <c r="A91" s="5" t="s">
        <v>465</v>
      </c>
      <c r="B91" s="5" t="s">
        <v>313</v>
      </c>
      <c r="C91" s="5" t="s">
        <v>37</v>
      </c>
      <c r="D91" s="5" t="s">
        <v>531</v>
      </c>
      <c r="E91" s="5" t="s">
        <v>621</v>
      </c>
      <c r="F91" s="5" t="s">
        <v>533</v>
      </c>
    </row>
    <row r="92" spans="1:6" x14ac:dyDescent="0.25">
      <c r="A92" s="5" t="s">
        <v>466</v>
      </c>
      <c r="B92" s="5" t="s">
        <v>435</v>
      </c>
      <c r="C92" s="5" t="s">
        <v>37</v>
      </c>
      <c r="D92" s="5" t="s">
        <v>539</v>
      </c>
      <c r="E92" s="5" t="s">
        <v>540</v>
      </c>
      <c r="F92" s="10" t="s">
        <v>541</v>
      </c>
    </row>
    <row r="93" spans="1:6" x14ac:dyDescent="0.25">
      <c r="A93" s="5" t="s">
        <v>468</v>
      </c>
      <c r="B93" s="5" t="s">
        <v>469</v>
      </c>
      <c r="C93" s="5" t="s">
        <v>37</v>
      </c>
      <c r="D93" s="5" t="s">
        <v>534</v>
      </c>
      <c r="E93" s="5" t="s">
        <v>622</v>
      </c>
      <c r="F93" s="5" t="s">
        <v>533</v>
      </c>
    </row>
    <row r="94" spans="1:6" x14ac:dyDescent="0.25">
      <c r="A94" s="5" t="s">
        <v>472</v>
      </c>
      <c r="B94" s="5" t="s">
        <v>473</v>
      </c>
      <c r="C94" s="5" t="s">
        <v>37</v>
      </c>
      <c r="D94" s="5" t="s">
        <v>572</v>
      </c>
      <c r="E94" s="5" t="s">
        <v>623</v>
      </c>
      <c r="F94" s="5" t="s">
        <v>533</v>
      </c>
    </row>
    <row r="95" spans="1:6" x14ac:dyDescent="0.25">
      <c r="A95" s="5" t="s">
        <v>475</v>
      </c>
      <c r="B95" s="5" t="s">
        <v>476</v>
      </c>
      <c r="C95" s="5" t="s">
        <v>37</v>
      </c>
      <c r="D95" s="5" t="s">
        <v>552</v>
      </c>
      <c r="E95" s="5" t="s">
        <v>624</v>
      </c>
      <c r="F95" s="5" t="s">
        <v>533</v>
      </c>
    </row>
    <row r="96" spans="1:6" x14ac:dyDescent="0.25">
      <c r="A96" s="5" t="s">
        <v>477</v>
      </c>
      <c r="B96" s="5" t="s">
        <v>285</v>
      </c>
      <c r="C96" s="5" t="s">
        <v>37</v>
      </c>
      <c r="D96" s="5" t="s">
        <v>552</v>
      </c>
      <c r="E96" s="5" t="s">
        <v>625</v>
      </c>
      <c r="F96" s="5" t="s">
        <v>533</v>
      </c>
    </row>
    <row r="97" spans="1:6" x14ac:dyDescent="0.25">
      <c r="A97" s="5" t="s">
        <v>479</v>
      </c>
      <c r="B97" s="5" t="s">
        <v>480</v>
      </c>
      <c r="C97" s="5" t="s">
        <v>37</v>
      </c>
      <c r="D97" s="5" t="s">
        <v>542</v>
      </c>
      <c r="E97" s="5" t="s">
        <v>626</v>
      </c>
      <c r="F97" s="5" t="s">
        <v>533</v>
      </c>
    </row>
    <row r="98" spans="1:6" x14ac:dyDescent="0.25">
      <c r="A98" s="5" t="s">
        <v>482</v>
      </c>
      <c r="B98" s="5" t="s">
        <v>174</v>
      </c>
      <c r="C98" s="5" t="s">
        <v>37</v>
      </c>
      <c r="D98" s="5" t="s">
        <v>542</v>
      </c>
      <c r="E98" s="5" t="s">
        <v>627</v>
      </c>
      <c r="F98" s="5" t="s">
        <v>533</v>
      </c>
    </row>
    <row r="99" spans="1:6" x14ac:dyDescent="0.25">
      <c r="A99" s="5" t="s">
        <v>483</v>
      </c>
      <c r="B99" s="5" t="s">
        <v>251</v>
      </c>
      <c r="C99" s="5" t="s">
        <v>37</v>
      </c>
      <c r="D99" s="5" t="s">
        <v>572</v>
      </c>
      <c r="E99" s="5" t="s">
        <v>628</v>
      </c>
      <c r="F99" s="5" t="s">
        <v>533</v>
      </c>
    </row>
    <row r="100" spans="1:6" x14ac:dyDescent="0.25">
      <c r="A100" s="5" t="s">
        <v>59</v>
      </c>
      <c r="B100" s="5" t="s">
        <v>60</v>
      </c>
      <c r="C100" s="5" t="s">
        <v>33</v>
      </c>
      <c r="D100" s="5" t="s">
        <v>26</v>
      </c>
      <c r="E100" s="5" t="s">
        <v>629</v>
      </c>
      <c r="F100" s="5" t="s">
        <v>533</v>
      </c>
    </row>
    <row r="101" spans="1:6" x14ac:dyDescent="0.25">
      <c r="A101" s="5" t="s">
        <v>103</v>
      </c>
      <c r="B101" s="5" t="s">
        <v>104</v>
      </c>
      <c r="C101" s="5" t="s">
        <v>33</v>
      </c>
      <c r="D101" s="5" t="s">
        <v>105</v>
      </c>
      <c r="E101" s="5" t="s">
        <v>630</v>
      </c>
      <c r="F101" s="5" t="s">
        <v>533</v>
      </c>
    </row>
    <row r="102" spans="1:6" x14ac:dyDescent="0.25">
      <c r="A102" s="5" t="s">
        <v>109</v>
      </c>
      <c r="B102" s="5" t="s">
        <v>110</v>
      </c>
      <c r="C102" s="5" t="s">
        <v>33</v>
      </c>
      <c r="D102" s="5" t="s">
        <v>26</v>
      </c>
      <c r="E102" s="5" t="s">
        <v>631</v>
      </c>
      <c r="F102" s="5" t="s">
        <v>533</v>
      </c>
    </row>
    <row r="103" spans="1:6" x14ac:dyDescent="0.25">
      <c r="A103" s="5" t="s">
        <v>161</v>
      </c>
      <c r="B103" s="5" t="s">
        <v>162</v>
      </c>
      <c r="C103" s="5" t="s">
        <v>33</v>
      </c>
      <c r="D103" s="5" t="s">
        <v>105</v>
      </c>
      <c r="E103" s="5" t="s">
        <v>632</v>
      </c>
      <c r="F103" s="5" t="s">
        <v>533</v>
      </c>
    </row>
    <row r="104" spans="1:6" x14ac:dyDescent="0.25">
      <c r="A104" s="5" t="s">
        <v>165</v>
      </c>
      <c r="B104" s="5" t="s">
        <v>166</v>
      </c>
      <c r="C104" s="5" t="s">
        <v>33</v>
      </c>
      <c r="D104" s="5" t="s">
        <v>105</v>
      </c>
      <c r="E104" s="5" t="s">
        <v>633</v>
      </c>
      <c r="F104" s="5" t="s">
        <v>533</v>
      </c>
    </row>
    <row r="105" spans="1:6" x14ac:dyDescent="0.25">
      <c r="A105" s="5" t="s">
        <v>167</v>
      </c>
      <c r="B105" s="5" t="s">
        <v>168</v>
      </c>
      <c r="C105" s="5" t="s">
        <v>33</v>
      </c>
      <c r="D105" s="5" t="s">
        <v>26</v>
      </c>
      <c r="E105" s="5" t="s">
        <v>634</v>
      </c>
      <c r="F105" s="5" t="s">
        <v>533</v>
      </c>
    </row>
    <row r="106" spans="1:6" x14ac:dyDescent="0.25">
      <c r="A106" s="5" t="s">
        <v>241</v>
      </c>
      <c r="B106" s="5" t="s">
        <v>242</v>
      </c>
      <c r="C106" s="5" t="s">
        <v>36</v>
      </c>
      <c r="D106" s="5" t="s">
        <v>26</v>
      </c>
      <c r="E106" s="5" t="s">
        <v>635</v>
      </c>
      <c r="F106" s="5" t="s">
        <v>533</v>
      </c>
    </row>
    <row r="107" spans="1:6" x14ac:dyDescent="0.25">
      <c r="A107" s="5" t="s">
        <v>250</v>
      </c>
      <c r="B107" s="5" t="s">
        <v>251</v>
      </c>
      <c r="C107" s="5" t="s">
        <v>36</v>
      </c>
      <c r="D107" s="5" t="s">
        <v>26</v>
      </c>
      <c r="E107" s="5" t="s">
        <v>636</v>
      </c>
      <c r="F107" s="5" t="s">
        <v>533</v>
      </c>
    </row>
    <row r="108" spans="1:6" x14ac:dyDescent="0.25">
      <c r="A108" s="5" t="s">
        <v>263</v>
      </c>
      <c r="B108" s="5" t="s">
        <v>185</v>
      </c>
      <c r="C108" s="5" t="s">
        <v>36</v>
      </c>
      <c r="D108" s="5" t="s">
        <v>105</v>
      </c>
      <c r="E108" s="5" t="s">
        <v>637</v>
      </c>
      <c r="F108" s="5" t="s">
        <v>533</v>
      </c>
    </row>
    <row r="109" spans="1:6" x14ac:dyDescent="0.25">
      <c r="A109" s="5" t="s">
        <v>266</v>
      </c>
      <c r="B109" s="5" t="s">
        <v>267</v>
      </c>
      <c r="C109" s="5" t="s">
        <v>36</v>
      </c>
      <c r="D109" s="5" t="s">
        <v>105</v>
      </c>
      <c r="E109" s="5" t="s">
        <v>638</v>
      </c>
      <c r="F109" s="5" t="s">
        <v>533</v>
      </c>
    </row>
    <row r="110" spans="1:6" x14ac:dyDescent="0.25">
      <c r="A110" s="5" t="s">
        <v>307</v>
      </c>
      <c r="B110" s="5" t="s">
        <v>308</v>
      </c>
      <c r="C110" s="5" t="s">
        <v>34</v>
      </c>
      <c r="D110" s="5" t="s">
        <v>105</v>
      </c>
      <c r="E110" s="5" t="s">
        <v>540</v>
      </c>
      <c r="F110" s="10" t="s">
        <v>541</v>
      </c>
    </row>
    <row r="111" spans="1:6" x14ac:dyDescent="0.25">
      <c r="A111" s="5" t="s">
        <v>354</v>
      </c>
      <c r="B111" s="5" t="s">
        <v>355</v>
      </c>
      <c r="C111" s="5" t="s">
        <v>34</v>
      </c>
      <c r="D111" s="5" t="s">
        <v>26</v>
      </c>
      <c r="E111" s="5" t="s">
        <v>639</v>
      </c>
      <c r="F111" s="5" t="s">
        <v>533</v>
      </c>
    </row>
    <row r="112" spans="1:6" x14ac:dyDescent="0.25">
      <c r="A112" s="5" t="s">
        <v>365</v>
      </c>
      <c r="B112" s="5" t="s">
        <v>366</v>
      </c>
      <c r="C112" s="5" t="s">
        <v>34</v>
      </c>
      <c r="D112" s="5" t="s">
        <v>105</v>
      </c>
      <c r="E112" s="5" t="s">
        <v>640</v>
      </c>
      <c r="F112" s="5" t="s">
        <v>533</v>
      </c>
    </row>
    <row r="113" spans="1:6" x14ac:dyDescent="0.25">
      <c r="A113" s="5" t="s">
        <v>375</v>
      </c>
      <c r="B113" s="5" t="s">
        <v>339</v>
      </c>
      <c r="C113" s="5" t="s">
        <v>35</v>
      </c>
      <c r="D113" s="5" t="s">
        <v>26</v>
      </c>
      <c r="E113" s="5" t="s">
        <v>641</v>
      </c>
      <c r="F113" s="5" t="s">
        <v>533</v>
      </c>
    </row>
    <row r="114" spans="1:6" x14ac:dyDescent="0.25">
      <c r="A114" s="5" t="s">
        <v>397</v>
      </c>
      <c r="B114" s="5" t="s">
        <v>398</v>
      </c>
      <c r="C114" s="5" t="s">
        <v>35</v>
      </c>
      <c r="D114" s="5" t="s">
        <v>26</v>
      </c>
      <c r="E114" s="5" t="s">
        <v>642</v>
      </c>
      <c r="F114" s="5" t="s">
        <v>533</v>
      </c>
    </row>
    <row r="115" spans="1:6" x14ac:dyDescent="0.25">
      <c r="A115" s="5" t="s">
        <v>423</v>
      </c>
      <c r="B115" s="5" t="s">
        <v>424</v>
      </c>
      <c r="C115" s="5" t="s">
        <v>35</v>
      </c>
      <c r="D115" s="5" t="s">
        <v>105</v>
      </c>
      <c r="E115" s="5" t="s">
        <v>643</v>
      </c>
      <c r="F115" s="5" t="s">
        <v>533</v>
      </c>
    </row>
    <row r="116" spans="1:6" x14ac:dyDescent="0.25">
      <c r="A116" s="5" t="s">
        <v>437</v>
      </c>
      <c r="B116" s="5" t="s">
        <v>438</v>
      </c>
      <c r="C116" s="5" t="s">
        <v>37</v>
      </c>
      <c r="D116" s="5" t="s">
        <v>105</v>
      </c>
      <c r="E116" s="5" t="s">
        <v>644</v>
      </c>
      <c r="F116" s="5" t="s">
        <v>533</v>
      </c>
    </row>
    <row r="117" spans="1:6" x14ac:dyDescent="0.25">
      <c r="A117" s="5" t="s">
        <v>445</v>
      </c>
      <c r="B117" s="5" t="s">
        <v>446</v>
      </c>
      <c r="C117" s="5" t="s">
        <v>37</v>
      </c>
      <c r="D117" s="5" t="s">
        <v>26</v>
      </c>
      <c r="E117" s="5" t="s">
        <v>645</v>
      </c>
      <c r="F117" s="5" t="s">
        <v>533</v>
      </c>
    </row>
    <row r="118" spans="1:6" x14ac:dyDescent="0.25">
      <c r="A118" s="5" t="s">
        <v>449</v>
      </c>
      <c r="B118" s="5" t="s">
        <v>450</v>
      </c>
      <c r="C118" s="5" t="s">
        <v>37</v>
      </c>
      <c r="D118" s="5" t="s">
        <v>26</v>
      </c>
      <c r="E118" s="5" t="s">
        <v>646</v>
      </c>
      <c r="F118" s="5" t="s">
        <v>533</v>
      </c>
    </row>
    <row r="119" spans="1:6" x14ac:dyDescent="0.25">
      <c r="A119" s="5" t="s">
        <v>460</v>
      </c>
      <c r="B119" s="5" t="s">
        <v>273</v>
      </c>
      <c r="C119" s="5" t="s">
        <v>37</v>
      </c>
      <c r="D119" s="5" t="s">
        <v>26</v>
      </c>
      <c r="E119" s="5" t="s">
        <v>647</v>
      </c>
      <c r="F119" s="5" t="s">
        <v>533</v>
      </c>
    </row>
  </sheetData>
  <autoFilter ref="A5:F119"/>
  <mergeCells count="2">
    <mergeCell ref="A1:F1"/>
    <mergeCell ref="A2:F2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Legend</vt:lpstr>
      <vt:lpstr>Summary</vt:lpstr>
      <vt:lpstr>Placement Register</vt:lpstr>
      <vt:lpstr>Progression</vt:lpstr>
      <vt:lpstr>Employer Summary</vt:lpstr>
      <vt:lpstr>DVV Evidence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Velaivaaipu</dc:creator>
  <dc:title/>
  <dc:subject/>
  <dc:description/>
  <cp:keywords/>
  <cp:category/>
  <cp:lastModifiedBy>Unknown</cp:lastModifiedBy>
  <dcterms:created xsi:type="dcterms:W3CDTF">2026-08-19T06:21:23Z</dcterms:created>
  <dcterms:modified xsi:type="dcterms:W3CDTF">2026-08-19T06:21:23Z</dcterms:modified>
</cp:coreProperties>
</file>